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gabri\Documents\"/>
    </mc:Choice>
  </mc:AlternateContent>
  <xr:revisionPtr revIDLastSave="0" documentId="13_ncr:1_{49A83BB5-3415-4BDF-975D-4BDA12131FC9}" xr6:coauthVersionLast="47" xr6:coauthVersionMax="47" xr10:uidLastSave="{00000000-0000-0000-0000-000000000000}"/>
  <bookViews>
    <workbookView xWindow="28680" yWindow="-120" windowWidth="29040" windowHeight="15720" xr2:uid="{0E57CB9E-7CB5-4E31-B57D-A48F2D43D604}"/>
  </bookViews>
  <sheets>
    <sheet name="JAN" sheetId="3" r:id="rId1"/>
    <sheet name="FEV" sheetId="16" r:id="rId2"/>
    <sheet name="MAR" sheetId="17" r:id="rId3"/>
    <sheet name="ABR" sheetId="18" r:id="rId4"/>
    <sheet name="MAI" sheetId="19" r:id="rId5"/>
    <sheet name="JUN" sheetId="20" r:id="rId6"/>
    <sheet name="JUL" sheetId="42" r:id="rId7"/>
    <sheet name="AGO" sheetId="49" r:id="rId8"/>
    <sheet name="SET" sheetId="51" r:id="rId9"/>
    <sheet name="OUT" sheetId="54" r:id="rId10"/>
    <sheet name="NOV" sheetId="55" r:id="rId11"/>
    <sheet name="DEZ" sheetId="48" r:id="rId12"/>
    <sheet name="TOTAL" sheetId="27" r:id="rId13"/>
  </sheets>
  <definedNames>
    <definedName name="_xlnm.Print_Area" localSheetId="7">AGO!$B$1:$AG$48</definedName>
    <definedName name="_xlnm.Print_Area" localSheetId="6">JUL!$B$1:$AG$48</definedName>
    <definedName name="_xlnm.Print_Area" localSheetId="10">NOV!$B$1:$AG$48</definedName>
    <definedName name="_xlnm.Print_Area" localSheetId="9">OUT!$B$1:$AG$48</definedName>
    <definedName name="_xlnm.Print_Area" localSheetId="8">SET!$B$1:$AG$48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9" i="27" l="1"/>
  <c r="BC53" i="27"/>
  <c r="BC54" i="27"/>
  <c r="BC55" i="27"/>
  <c r="AU6" i="27"/>
  <c r="AU7" i="27"/>
  <c r="AU8" i="27"/>
  <c r="AU9" i="27"/>
  <c r="AU10" i="27"/>
  <c r="AU12" i="27"/>
  <c r="AU14" i="27"/>
  <c r="AU15" i="27"/>
  <c r="AU16" i="27"/>
  <c r="AU17" i="27"/>
  <c r="AU19" i="27"/>
  <c r="AU20" i="27"/>
  <c r="AU21" i="27"/>
  <c r="AU23" i="27"/>
  <c r="AU25" i="27"/>
  <c r="AU26" i="27"/>
  <c r="AU27" i="27"/>
  <c r="AU28" i="27"/>
  <c r="AU29" i="27"/>
  <c r="AU30" i="27"/>
  <c r="AU31" i="27"/>
  <c r="AU33" i="27"/>
  <c r="AU34" i="27"/>
  <c r="AU36" i="27"/>
  <c r="AU37" i="27"/>
  <c r="AU39" i="27"/>
  <c r="AU40" i="27"/>
  <c r="AU41" i="27"/>
  <c r="AU42" i="27"/>
  <c r="AU43" i="27"/>
  <c r="AU44" i="27"/>
  <c r="AU45" i="27"/>
  <c r="AU46" i="27"/>
  <c r="AU47" i="27"/>
  <c r="AU48" i="27"/>
  <c r="AU49" i="27"/>
  <c r="AU50" i="27"/>
  <c r="AU52" i="27"/>
  <c r="AU53" i="27"/>
  <c r="AU54" i="27"/>
  <c r="AU55" i="27"/>
  <c r="AU56" i="27"/>
  <c r="AT7" i="27"/>
  <c r="AT8" i="27"/>
  <c r="AT10" i="27"/>
  <c r="AT11" i="27"/>
  <c r="AT13" i="27"/>
  <c r="AT14" i="27"/>
  <c r="AT16" i="27"/>
  <c r="AT17" i="27"/>
  <c r="AT18" i="27"/>
  <c r="AT20" i="27"/>
  <c r="AT21" i="27"/>
  <c r="AT22" i="27"/>
  <c r="AT24" i="27"/>
  <c r="AT25" i="27"/>
  <c r="AT26" i="27"/>
  <c r="AT28" i="27"/>
  <c r="AT29" i="27"/>
  <c r="AT32" i="27"/>
  <c r="AT34" i="27"/>
  <c r="AT35" i="27"/>
  <c r="AT37" i="27"/>
  <c r="AT38" i="27"/>
  <c r="AT39" i="27"/>
  <c r="AT41" i="27"/>
  <c r="AT43" i="27"/>
  <c r="AT44" i="27"/>
  <c r="AT45" i="27"/>
  <c r="AT46" i="27"/>
  <c r="AT47" i="27"/>
  <c r="AT48" i="27"/>
  <c r="AT51" i="27"/>
  <c r="AT53" i="27"/>
  <c r="AT54" i="27"/>
  <c r="AT55" i="27"/>
  <c r="AT56" i="27"/>
  <c r="AS6" i="27"/>
  <c r="AS7" i="27"/>
  <c r="AS8" i="27"/>
  <c r="AS10" i="27"/>
  <c r="AS11" i="27"/>
  <c r="AS12" i="27"/>
  <c r="AS13" i="27"/>
  <c r="AS15" i="27"/>
  <c r="AS16" i="27"/>
  <c r="AS17" i="27"/>
  <c r="AS18" i="27"/>
  <c r="AS19" i="27"/>
  <c r="AS22" i="27"/>
  <c r="AS23" i="27"/>
  <c r="AS24" i="27"/>
  <c r="AS27" i="27"/>
  <c r="AS30" i="27"/>
  <c r="AS31" i="27"/>
  <c r="AS32" i="27"/>
  <c r="AS33" i="27"/>
  <c r="AS35" i="27"/>
  <c r="AS36" i="27"/>
  <c r="AS38" i="27"/>
  <c r="AS40" i="27"/>
  <c r="AS42" i="27"/>
  <c r="AS46" i="27"/>
  <c r="AS49" i="27"/>
  <c r="AS50" i="27"/>
  <c r="AS51" i="27"/>
  <c r="AS52" i="27"/>
  <c r="AS53" i="27"/>
  <c r="AS54" i="27"/>
  <c r="AS55" i="27"/>
  <c r="AS56" i="27"/>
  <c r="AR6" i="27"/>
  <c r="AR9" i="27"/>
  <c r="AR11" i="27"/>
  <c r="AR12" i="27"/>
  <c r="AR13" i="27"/>
  <c r="AR14" i="27"/>
  <c r="AR15" i="27"/>
  <c r="AR18" i="27"/>
  <c r="AR19" i="27"/>
  <c r="AR20" i="27"/>
  <c r="AR21" i="27"/>
  <c r="AR22" i="27"/>
  <c r="AR23" i="27"/>
  <c r="AR24" i="27"/>
  <c r="AR25" i="27"/>
  <c r="AR26" i="27"/>
  <c r="AR27" i="27"/>
  <c r="AR28" i="27"/>
  <c r="AR29" i="27"/>
  <c r="AR30" i="27"/>
  <c r="AR31" i="27"/>
  <c r="AR32" i="27"/>
  <c r="AR33" i="27"/>
  <c r="AR34" i="27"/>
  <c r="AR35" i="27"/>
  <c r="AR36" i="27"/>
  <c r="AR37" i="27"/>
  <c r="AR38" i="27"/>
  <c r="AR39" i="27"/>
  <c r="AR40" i="27"/>
  <c r="AR41" i="27"/>
  <c r="AR42" i="27"/>
  <c r="AR43" i="27"/>
  <c r="AR44" i="27"/>
  <c r="AR45" i="27"/>
  <c r="AR47" i="27"/>
  <c r="AR48" i="27"/>
  <c r="AR49" i="27"/>
  <c r="AR50" i="27"/>
  <c r="AR51" i="27"/>
  <c r="AR52" i="27"/>
  <c r="AR53" i="27"/>
  <c r="AR54" i="27"/>
  <c r="AR55" i="27"/>
  <c r="AR56" i="27"/>
  <c r="AR5" i="27"/>
  <c r="B6" i="27"/>
  <c r="B7" i="27"/>
  <c r="B8" i="27"/>
  <c r="B9" i="27"/>
  <c r="B10" i="27"/>
  <c r="B11" i="27"/>
  <c r="B12" i="27"/>
  <c r="B13" i="27"/>
  <c r="B14" i="27"/>
  <c r="B15" i="27"/>
  <c r="B16" i="27"/>
  <c r="B17" i="27"/>
  <c r="B18" i="27"/>
  <c r="B19" i="27"/>
  <c r="B20" i="27"/>
  <c r="B21" i="27"/>
  <c r="B22" i="27"/>
  <c r="B23" i="27"/>
  <c r="B24" i="27"/>
  <c r="B25" i="27"/>
  <c r="B26" i="27"/>
  <c r="B27" i="27"/>
  <c r="B28" i="27"/>
  <c r="B30" i="27"/>
  <c r="B31" i="27"/>
  <c r="B32" i="27"/>
  <c r="B33" i="27"/>
  <c r="B34" i="27"/>
  <c r="B35" i="27"/>
  <c r="B36" i="27"/>
  <c r="B37" i="27"/>
  <c r="B38" i="27"/>
  <c r="B39" i="27"/>
  <c r="B40" i="27"/>
  <c r="B41" i="27"/>
  <c r="B42" i="27"/>
  <c r="B43" i="27"/>
  <c r="B44" i="27"/>
  <c r="B45" i="27"/>
  <c r="B46" i="27"/>
  <c r="B47" i="27"/>
  <c r="B48" i="27"/>
  <c r="B49" i="27"/>
  <c r="B50" i="27"/>
  <c r="B51" i="27"/>
  <c r="B52" i="27"/>
  <c r="B5" i="27"/>
  <c r="AB51" i="16"/>
  <c r="AC51" i="16"/>
  <c r="AD51" i="16"/>
  <c r="AF51" i="16"/>
  <c r="AG51" i="16"/>
  <c r="AB52" i="16"/>
  <c r="AC52" i="16"/>
  <c r="AD52" i="16"/>
  <c r="AF52" i="16"/>
  <c r="AG52" i="16"/>
  <c r="AB51" i="17"/>
  <c r="AC51" i="17"/>
  <c r="AD51" i="17"/>
  <c r="AF51" i="17"/>
  <c r="AG51" i="17"/>
  <c r="AB52" i="17"/>
  <c r="AC52" i="17"/>
  <c r="AD52" i="17"/>
  <c r="AF52" i="17"/>
  <c r="AG52" i="17"/>
  <c r="AB51" i="18"/>
  <c r="AC51" i="18"/>
  <c r="AD51" i="18"/>
  <c r="AE51" i="18" s="1"/>
  <c r="AF51" i="18"/>
  <c r="AG51" i="18"/>
  <c r="AB52" i="18"/>
  <c r="AC52" i="18"/>
  <c r="AD52" i="18"/>
  <c r="AF52" i="18"/>
  <c r="AG52" i="18"/>
  <c r="AB51" i="19"/>
  <c r="AC51" i="19"/>
  <c r="AD51" i="19"/>
  <c r="AF51" i="19"/>
  <c r="AG51" i="19"/>
  <c r="AB52" i="19"/>
  <c r="AC52" i="19"/>
  <c r="AD52" i="19"/>
  <c r="AF52" i="19"/>
  <c r="AG52" i="19"/>
  <c r="AB51" i="20"/>
  <c r="AC51" i="20"/>
  <c r="AD51" i="20"/>
  <c r="AF51" i="20"/>
  <c r="AG51" i="20"/>
  <c r="AB52" i="20"/>
  <c r="AC52" i="20"/>
  <c r="AE52" i="20" s="1"/>
  <c r="AD52" i="20"/>
  <c r="AF52" i="20"/>
  <c r="AG52" i="20"/>
  <c r="AB51" i="42"/>
  <c r="AC51" i="42"/>
  <c r="AD51" i="42"/>
  <c r="AF51" i="42"/>
  <c r="AG51" i="42"/>
  <c r="AB52" i="42"/>
  <c r="AC52" i="42"/>
  <c r="AD52" i="42"/>
  <c r="AF52" i="42"/>
  <c r="AG52" i="42"/>
  <c r="AB51" i="49"/>
  <c r="AC51" i="49"/>
  <c r="AD51" i="49"/>
  <c r="AF51" i="49"/>
  <c r="AG51" i="49"/>
  <c r="AB52" i="49"/>
  <c r="AC52" i="49"/>
  <c r="AD52" i="49"/>
  <c r="AF52" i="49"/>
  <c r="AG52" i="49"/>
  <c r="AB51" i="51"/>
  <c r="AC51" i="51"/>
  <c r="AD51" i="51"/>
  <c r="AF51" i="51"/>
  <c r="AG51" i="51"/>
  <c r="AB52" i="51"/>
  <c r="AC52" i="51"/>
  <c r="AD52" i="51"/>
  <c r="AF52" i="51"/>
  <c r="AG52" i="51"/>
  <c r="AB51" i="54"/>
  <c r="AC51" i="54"/>
  <c r="AD51" i="54"/>
  <c r="AF51" i="54"/>
  <c r="AG51" i="54"/>
  <c r="AB52" i="54"/>
  <c r="AC52" i="54"/>
  <c r="AD52" i="54"/>
  <c r="AF52" i="54"/>
  <c r="AG52" i="54"/>
  <c r="AB51" i="55"/>
  <c r="AC51" i="55"/>
  <c r="AD51" i="55"/>
  <c r="AF51" i="55"/>
  <c r="AG51" i="55"/>
  <c r="AB52" i="55"/>
  <c r="AC52" i="55"/>
  <c r="AD52" i="55"/>
  <c r="AF52" i="55"/>
  <c r="AG52" i="55"/>
  <c r="AB51" i="3"/>
  <c r="AC51" i="3"/>
  <c r="AD51" i="3"/>
  <c r="AF51" i="3"/>
  <c r="AG51" i="3"/>
  <c r="AB52" i="3"/>
  <c r="AC52" i="3"/>
  <c r="AD52" i="3"/>
  <c r="AF52" i="3"/>
  <c r="AG52" i="3"/>
  <c r="AB6" i="3"/>
  <c r="AC6" i="3"/>
  <c r="AD6" i="3"/>
  <c r="AF6" i="3"/>
  <c r="AG6" i="3"/>
  <c r="AB7" i="3"/>
  <c r="AC7" i="3"/>
  <c r="AD7" i="3"/>
  <c r="AF7" i="3"/>
  <c r="AG7" i="3"/>
  <c r="AB8" i="3"/>
  <c r="AC8" i="3"/>
  <c r="AD8" i="3"/>
  <c r="AF8" i="3"/>
  <c r="AG8" i="3"/>
  <c r="AB9" i="3"/>
  <c r="AC9" i="3"/>
  <c r="AD9" i="3"/>
  <c r="AF9" i="3"/>
  <c r="AG9" i="3"/>
  <c r="AB10" i="3"/>
  <c r="AC10" i="3"/>
  <c r="AD10" i="3"/>
  <c r="AF10" i="3"/>
  <c r="AG10" i="3"/>
  <c r="AB11" i="3"/>
  <c r="AC11" i="3"/>
  <c r="AD11" i="3"/>
  <c r="AF11" i="3"/>
  <c r="AG11" i="3"/>
  <c r="AB12" i="3"/>
  <c r="AC12" i="3"/>
  <c r="AD12" i="3"/>
  <c r="AF12" i="3"/>
  <c r="AG12" i="3"/>
  <c r="AB13" i="3"/>
  <c r="AC13" i="3"/>
  <c r="AD13" i="3"/>
  <c r="AF13" i="3"/>
  <c r="AG13" i="3"/>
  <c r="AB14" i="3"/>
  <c r="AC14" i="3"/>
  <c r="AD14" i="3"/>
  <c r="AF14" i="3"/>
  <c r="AG14" i="3"/>
  <c r="AB15" i="3"/>
  <c r="AC15" i="3"/>
  <c r="AD15" i="3"/>
  <c r="AF15" i="3"/>
  <c r="AG15" i="3"/>
  <c r="AB16" i="3"/>
  <c r="AC16" i="3"/>
  <c r="AD16" i="3"/>
  <c r="AF16" i="3"/>
  <c r="AG16" i="3"/>
  <c r="AB17" i="3"/>
  <c r="AC17" i="3"/>
  <c r="AD17" i="3"/>
  <c r="AF17" i="3"/>
  <c r="AG17" i="3"/>
  <c r="AB18" i="3"/>
  <c r="AC18" i="3"/>
  <c r="AD18" i="3"/>
  <c r="AF18" i="3"/>
  <c r="AG18" i="3"/>
  <c r="AB19" i="3"/>
  <c r="AC19" i="3"/>
  <c r="AD19" i="3"/>
  <c r="AF19" i="3"/>
  <c r="AG19" i="3"/>
  <c r="AB20" i="3"/>
  <c r="AC20" i="3"/>
  <c r="AD20" i="3"/>
  <c r="AF20" i="3"/>
  <c r="AG20" i="3"/>
  <c r="AB21" i="3"/>
  <c r="AC21" i="3"/>
  <c r="AD21" i="3"/>
  <c r="AF21" i="3"/>
  <c r="AG21" i="3"/>
  <c r="AB22" i="3"/>
  <c r="AC22" i="3"/>
  <c r="AD22" i="3"/>
  <c r="AF22" i="3"/>
  <c r="AG22" i="3"/>
  <c r="AB23" i="3"/>
  <c r="AC23" i="3"/>
  <c r="AD23" i="3"/>
  <c r="AF23" i="3"/>
  <c r="AG23" i="3"/>
  <c r="AB24" i="3"/>
  <c r="AC24" i="3"/>
  <c r="AD24" i="3"/>
  <c r="AF24" i="3"/>
  <c r="AG24" i="3"/>
  <c r="AB25" i="3"/>
  <c r="AC25" i="3"/>
  <c r="AD25" i="3"/>
  <c r="AF25" i="3"/>
  <c r="AG25" i="3"/>
  <c r="AB26" i="3"/>
  <c r="AC26" i="3"/>
  <c r="AD26" i="3"/>
  <c r="AF26" i="3"/>
  <c r="AG26" i="3"/>
  <c r="AB27" i="3"/>
  <c r="AC27" i="3"/>
  <c r="AD27" i="3"/>
  <c r="AF27" i="3"/>
  <c r="AG27" i="3"/>
  <c r="AB28" i="3"/>
  <c r="AC28" i="3"/>
  <c r="AD28" i="3"/>
  <c r="AF28" i="3"/>
  <c r="AG28" i="3"/>
  <c r="AB29" i="3"/>
  <c r="AC29" i="3"/>
  <c r="AD29" i="3"/>
  <c r="AF29" i="3"/>
  <c r="AG29" i="3"/>
  <c r="AB30" i="3"/>
  <c r="AC30" i="3"/>
  <c r="AD30" i="3"/>
  <c r="AF30" i="3"/>
  <c r="AG30" i="3"/>
  <c r="AB31" i="3"/>
  <c r="AC31" i="3"/>
  <c r="AD31" i="3"/>
  <c r="AF31" i="3"/>
  <c r="AG31" i="3"/>
  <c r="AB32" i="3"/>
  <c r="AC32" i="3"/>
  <c r="AD32" i="3"/>
  <c r="AF32" i="3"/>
  <c r="AG32" i="3"/>
  <c r="AB33" i="3"/>
  <c r="AC33" i="3"/>
  <c r="AD33" i="3"/>
  <c r="AF33" i="3"/>
  <c r="AG33" i="3"/>
  <c r="AB34" i="3"/>
  <c r="AC34" i="3"/>
  <c r="AD34" i="3"/>
  <c r="AF34" i="3"/>
  <c r="AG34" i="3"/>
  <c r="AB35" i="3"/>
  <c r="AC35" i="3"/>
  <c r="AD35" i="3"/>
  <c r="AF35" i="3"/>
  <c r="AG35" i="3"/>
  <c r="AB36" i="3"/>
  <c r="AC36" i="3"/>
  <c r="AD36" i="3"/>
  <c r="AF36" i="3"/>
  <c r="AG36" i="3"/>
  <c r="AB37" i="3"/>
  <c r="AC37" i="3"/>
  <c r="AD37" i="3"/>
  <c r="AF37" i="3"/>
  <c r="AG37" i="3"/>
  <c r="AB38" i="3"/>
  <c r="AC38" i="3"/>
  <c r="AD38" i="3"/>
  <c r="AF38" i="3"/>
  <c r="AG38" i="3"/>
  <c r="AB39" i="3"/>
  <c r="AC39" i="3"/>
  <c r="AD39" i="3"/>
  <c r="AF39" i="3"/>
  <c r="AG39" i="3"/>
  <c r="AB40" i="3"/>
  <c r="AC40" i="3"/>
  <c r="AD40" i="3"/>
  <c r="AF40" i="3"/>
  <c r="AG40" i="3"/>
  <c r="AB41" i="3"/>
  <c r="AC41" i="3"/>
  <c r="AD41" i="3"/>
  <c r="AF41" i="3"/>
  <c r="AG41" i="3"/>
  <c r="AB42" i="3"/>
  <c r="AC42" i="3"/>
  <c r="AD42" i="3"/>
  <c r="AF42" i="3"/>
  <c r="AG42" i="3"/>
  <c r="AB43" i="3"/>
  <c r="AC43" i="3"/>
  <c r="AD43" i="3"/>
  <c r="AF43" i="3"/>
  <c r="AG43" i="3"/>
  <c r="AB44" i="3"/>
  <c r="AC44" i="3"/>
  <c r="AD44" i="3"/>
  <c r="AF44" i="3"/>
  <c r="AG44" i="3"/>
  <c r="AB45" i="3"/>
  <c r="AC45" i="3"/>
  <c r="AD45" i="3"/>
  <c r="AF45" i="3"/>
  <c r="AG45" i="3"/>
  <c r="AB46" i="3"/>
  <c r="AC46" i="3"/>
  <c r="AD46" i="3"/>
  <c r="AF46" i="3"/>
  <c r="AG46" i="3"/>
  <c r="AB47" i="3"/>
  <c r="AC47" i="3"/>
  <c r="AD47" i="3"/>
  <c r="AF47" i="3"/>
  <c r="AG47" i="3"/>
  <c r="AB48" i="3"/>
  <c r="AC48" i="3"/>
  <c r="AE48" i="3" s="1"/>
  <c r="AD48" i="3"/>
  <c r="AF48" i="3"/>
  <c r="AG48" i="3"/>
  <c r="AB49" i="3"/>
  <c r="AC49" i="3"/>
  <c r="AD49" i="3"/>
  <c r="AF49" i="3"/>
  <c r="AG49" i="3"/>
  <c r="AB50" i="3"/>
  <c r="AC50" i="3"/>
  <c r="AD50" i="3"/>
  <c r="AF50" i="3"/>
  <c r="AG50" i="3"/>
  <c r="AU5" i="27"/>
  <c r="AS5" i="27"/>
  <c r="AG50" i="55"/>
  <c r="AF50" i="55"/>
  <c r="AD50" i="55"/>
  <c r="AC50" i="55"/>
  <c r="AB50" i="55"/>
  <c r="AG49" i="55"/>
  <c r="AF49" i="55"/>
  <c r="AD49" i="55"/>
  <c r="AC49" i="55"/>
  <c r="AB49" i="55"/>
  <c r="AG48" i="55"/>
  <c r="AF48" i="55"/>
  <c r="AD48" i="55"/>
  <c r="AC48" i="55"/>
  <c r="AB48" i="55"/>
  <c r="AG47" i="55"/>
  <c r="AF47" i="55"/>
  <c r="AD47" i="55"/>
  <c r="AC47" i="55"/>
  <c r="AB47" i="55"/>
  <c r="AG46" i="55"/>
  <c r="AF46" i="55"/>
  <c r="AD46" i="55"/>
  <c r="AC46" i="55"/>
  <c r="AB46" i="55"/>
  <c r="AG45" i="55"/>
  <c r="AF45" i="55"/>
  <c r="AD45" i="55"/>
  <c r="AC45" i="55"/>
  <c r="AB45" i="55"/>
  <c r="AG44" i="55"/>
  <c r="AF44" i="55"/>
  <c r="AD44" i="55"/>
  <c r="AC44" i="55"/>
  <c r="AB44" i="55"/>
  <c r="AG43" i="55"/>
  <c r="AF43" i="55"/>
  <c r="AD43" i="55"/>
  <c r="AC43" i="55"/>
  <c r="AB43" i="55"/>
  <c r="AG42" i="55"/>
  <c r="AF42" i="55"/>
  <c r="AD42" i="55"/>
  <c r="AC42" i="55"/>
  <c r="AB42" i="55"/>
  <c r="AG41" i="55"/>
  <c r="AF41" i="55"/>
  <c r="AD41" i="55"/>
  <c r="AC41" i="55"/>
  <c r="AB41" i="55"/>
  <c r="AG40" i="55"/>
  <c r="AF40" i="55"/>
  <c r="AD40" i="55"/>
  <c r="AC40" i="55"/>
  <c r="AB40" i="55"/>
  <c r="AG39" i="55"/>
  <c r="AF39" i="55"/>
  <c r="AD39" i="55"/>
  <c r="AC39" i="55"/>
  <c r="AB39" i="55"/>
  <c r="AG38" i="55"/>
  <c r="AF38" i="55"/>
  <c r="AD38" i="55"/>
  <c r="AC38" i="55"/>
  <c r="AB38" i="55"/>
  <c r="AG37" i="55"/>
  <c r="AF37" i="55"/>
  <c r="AD37" i="55"/>
  <c r="AC37" i="55"/>
  <c r="AB37" i="55"/>
  <c r="AG36" i="55"/>
  <c r="AF36" i="55"/>
  <c r="AD36" i="55"/>
  <c r="AC36" i="55"/>
  <c r="AB36" i="55"/>
  <c r="AG35" i="55"/>
  <c r="AF35" i="55"/>
  <c r="AD35" i="55"/>
  <c r="AC35" i="55"/>
  <c r="AB35" i="55"/>
  <c r="AG34" i="55"/>
  <c r="AF34" i="55"/>
  <c r="AD34" i="55"/>
  <c r="AC34" i="55"/>
  <c r="AB34" i="55"/>
  <c r="AG33" i="55"/>
  <c r="AF33" i="55"/>
  <c r="AD33" i="55"/>
  <c r="AC33" i="55"/>
  <c r="AB33" i="55"/>
  <c r="AG32" i="55"/>
  <c r="AF32" i="55"/>
  <c r="AD32" i="55"/>
  <c r="AC32" i="55"/>
  <c r="AB32" i="55"/>
  <c r="AG31" i="55"/>
  <c r="AF31" i="55"/>
  <c r="AD31" i="55"/>
  <c r="AC31" i="55"/>
  <c r="AB31" i="55"/>
  <c r="AG30" i="55"/>
  <c r="AF30" i="55"/>
  <c r="AD30" i="55"/>
  <c r="AC30" i="55"/>
  <c r="AB30" i="55"/>
  <c r="AG29" i="55"/>
  <c r="AF29" i="55"/>
  <c r="AD29" i="55"/>
  <c r="AC29" i="55"/>
  <c r="AE29" i="55" s="1"/>
  <c r="AB29" i="55"/>
  <c r="AG28" i="55"/>
  <c r="AF28" i="55"/>
  <c r="AD28" i="55"/>
  <c r="AC28" i="55"/>
  <c r="AB28" i="55"/>
  <c r="AG27" i="55"/>
  <c r="AF27" i="55"/>
  <c r="AD27" i="55"/>
  <c r="AC27" i="55"/>
  <c r="AB27" i="55"/>
  <c r="AG26" i="55"/>
  <c r="AF26" i="55"/>
  <c r="AD26" i="55"/>
  <c r="AC26" i="55"/>
  <c r="AB26" i="55"/>
  <c r="AG25" i="55"/>
  <c r="AF25" i="55"/>
  <c r="AD25" i="55"/>
  <c r="AC25" i="55"/>
  <c r="AB25" i="55"/>
  <c r="AG24" i="55"/>
  <c r="AF24" i="55"/>
  <c r="AD24" i="55"/>
  <c r="AC24" i="55"/>
  <c r="AB24" i="55"/>
  <c r="AG23" i="55"/>
  <c r="AF23" i="55"/>
  <c r="AD23" i="55"/>
  <c r="AC23" i="55"/>
  <c r="AB23" i="55"/>
  <c r="AG22" i="55"/>
  <c r="AF22" i="55"/>
  <c r="AD22" i="55"/>
  <c r="AC22" i="55"/>
  <c r="AB22" i="55"/>
  <c r="AG21" i="55"/>
  <c r="AF21" i="55"/>
  <c r="AD21" i="55"/>
  <c r="AC21" i="55"/>
  <c r="AB21" i="55"/>
  <c r="AG20" i="55"/>
  <c r="AF20" i="55"/>
  <c r="AD20" i="55"/>
  <c r="AC20" i="55"/>
  <c r="AB20" i="55"/>
  <c r="AG19" i="55"/>
  <c r="AF19" i="55"/>
  <c r="AD19" i="55"/>
  <c r="AC19" i="55"/>
  <c r="AB19" i="55"/>
  <c r="AG18" i="55"/>
  <c r="AF18" i="55"/>
  <c r="AD18" i="55"/>
  <c r="AC18" i="55"/>
  <c r="AB18" i="55"/>
  <c r="AG17" i="55"/>
  <c r="AF17" i="55"/>
  <c r="AD17" i="55"/>
  <c r="AC17" i="55"/>
  <c r="AE17" i="55" s="1"/>
  <c r="AB17" i="55"/>
  <c r="AG16" i="55"/>
  <c r="AF16" i="55"/>
  <c r="AD16" i="55"/>
  <c r="AC16" i="55"/>
  <c r="AB16" i="55"/>
  <c r="AG15" i="55"/>
  <c r="AF15" i="55"/>
  <c r="AD15" i="55"/>
  <c r="AC15" i="55"/>
  <c r="AB15" i="55"/>
  <c r="AG14" i="55"/>
  <c r="AF14" i="55"/>
  <c r="AD14" i="55"/>
  <c r="AC14" i="55"/>
  <c r="AB14" i="55"/>
  <c r="AG13" i="55"/>
  <c r="AF13" i="55"/>
  <c r="AD13" i="55"/>
  <c r="AC13" i="55"/>
  <c r="AB13" i="55"/>
  <c r="AG12" i="55"/>
  <c r="AF12" i="55"/>
  <c r="AD12" i="55"/>
  <c r="AC12" i="55"/>
  <c r="AB12" i="55"/>
  <c r="AG11" i="55"/>
  <c r="AF11" i="55"/>
  <c r="AD11" i="55"/>
  <c r="AC11" i="55"/>
  <c r="AB11" i="55"/>
  <c r="AG10" i="55"/>
  <c r="AF10" i="55"/>
  <c r="AD10" i="55"/>
  <c r="AC10" i="55"/>
  <c r="AB10" i="55"/>
  <c r="AG9" i="55"/>
  <c r="AF9" i="55"/>
  <c r="AD9" i="55"/>
  <c r="AC9" i="55"/>
  <c r="AB9" i="55"/>
  <c r="AG8" i="55"/>
  <c r="AF8" i="55"/>
  <c r="AD8" i="55"/>
  <c r="AC8" i="55"/>
  <c r="AB8" i="55"/>
  <c r="AG7" i="55"/>
  <c r="AF7" i="55"/>
  <c r="AD7" i="55"/>
  <c r="AC7" i="55"/>
  <c r="AB7" i="55"/>
  <c r="AG6" i="55"/>
  <c r="AF6" i="55"/>
  <c r="AD6" i="55"/>
  <c r="AC6" i="55"/>
  <c r="AB6" i="55"/>
  <c r="AG5" i="55"/>
  <c r="AF5" i="55"/>
  <c r="AD5" i="55"/>
  <c r="AC5" i="55"/>
  <c r="AB5" i="55"/>
  <c r="H3" i="55"/>
  <c r="M3" i="55" s="1"/>
  <c r="R3" i="55" s="1"/>
  <c r="AG50" i="54"/>
  <c r="AF50" i="54"/>
  <c r="AD50" i="54"/>
  <c r="AC50" i="54"/>
  <c r="AB50" i="54"/>
  <c r="AG49" i="54"/>
  <c r="AF49" i="54"/>
  <c r="AD49" i="54"/>
  <c r="AC49" i="54"/>
  <c r="AB49" i="54"/>
  <c r="AG48" i="54"/>
  <c r="AF48" i="54"/>
  <c r="AD48" i="54"/>
  <c r="AC48" i="54"/>
  <c r="AB48" i="54"/>
  <c r="AG47" i="54"/>
  <c r="AF47" i="54"/>
  <c r="AD47" i="54"/>
  <c r="AC47" i="54"/>
  <c r="AB47" i="54"/>
  <c r="AG46" i="54"/>
  <c r="AF46" i="54"/>
  <c r="AD46" i="54"/>
  <c r="AC46" i="54"/>
  <c r="AB46" i="54"/>
  <c r="AG45" i="54"/>
  <c r="AF45" i="54"/>
  <c r="AD45" i="54"/>
  <c r="AC45" i="54"/>
  <c r="AB45" i="54"/>
  <c r="AG44" i="54"/>
  <c r="AF44" i="54"/>
  <c r="AD44" i="54"/>
  <c r="AC44" i="54"/>
  <c r="AB44" i="54"/>
  <c r="AG43" i="54"/>
  <c r="AF43" i="54"/>
  <c r="AD43" i="54"/>
  <c r="AC43" i="54"/>
  <c r="AB43" i="54"/>
  <c r="AG42" i="54"/>
  <c r="AF42" i="54"/>
  <c r="AD42" i="54"/>
  <c r="AC42" i="54"/>
  <c r="AB42" i="54"/>
  <c r="AG41" i="54"/>
  <c r="AF41" i="54"/>
  <c r="AD41" i="54"/>
  <c r="AC41" i="54"/>
  <c r="AB41" i="54"/>
  <c r="AG40" i="54"/>
  <c r="AF40" i="54"/>
  <c r="AD40" i="54"/>
  <c r="AC40" i="54"/>
  <c r="AB40" i="54"/>
  <c r="AG39" i="54"/>
  <c r="AF39" i="54"/>
  <c r="AD39" i="54"/>
  <c r="AC39" i="54"/>
  <c r="AB39" i="54"/>
  <c r="AG38" i="54"/>
  <c r="AF38" i="54"/>
  <c r="AD38" i="54"/>
  <c r="AC38" i="54"/>
  <c r="AB38" i="54"/>
  <c r="AG37" i="54"/>
  <c r="AF37" i="54"/>
  <c r="AD37" i="54"/>
  <c r="AC37" i="54"/>
  <c r="AB37" i="54"/>
  <c r="AG36" i="54"/>
  <c r="AF36" i="54"/>
  <c r="AD36" i="54"/>
  <c r="AC36" i="54"/>
  <c r="AB36" i="54"/>
  <c r="AG35" i="54"/>
  <c r="AF35" i="54"/>
  <c r="AD35" i="54"/>
  <c r="AC35" i="54"/>
  <c r="AB35" i="54"/>
  <c r="AG34" i="54"/>
  <c r="AF34" i="54"/>
  <c r="AD34" i="54"/>
  <c r="AC34" i="54"/>
  <c r="AB34" i="54"/>
  <c r="AG33" i="54"/>
  <c r="AF33" i="54"/>
  <c r="AD33" i="54"/>
  <c r="AC33" i="54"/>
  <c r="AB33" i="54"/>
  <c r="AG32" i="54"/>
  <c r="AF32" i="54"/>
  <c r="AD32" i="54"/>
  <c r="AC32" i="54"/>
  <c r="AB32" i="54"/>
  <c r="AG31" i="54"/>
  <c r="AF31" i="54"/>
  <c r="AD31" i="54"/>
  <c r="AC31" i="54"/>
  <c r="AB31" i="54"/>
  <c r="AG30" i="54"/>
  <c r="AF30" i="54"/>
  <c r="AD30" i="54"/>
  <c r="AC30" i="54"/>
  <c r="AB30" i="54"/>
  <c r="AG29" i="54"/>
  <c r="AF29" i="54"/>
  <c r="AD29" i="54"/>
  <c r="AC29" i="54"/>
  <c r="AB29" i="54"/>
  <c r="AG28" i="54"/>
  <c r="AF28" i="54"/>
  <c r="AD28" i="54"/>
  <c r="AC28" i="54"/>
  <c r="AB28" i="54"/>
  <c r="AG27" i="54"/>
  <c r="AF27" i="54"/>
  <c r="AD27" i="54"/>
  <c r="AC27" i="54"/>
  <c r="AB27" i="54"/>
  <c r="AG26" i="54"/>
  <c r="AF26" i="54"/>
  <c r="AD26" i="54"/>
  <c r="AC26" i="54"/>
  <c r="AB26" i="54"/>
  <c r="AG25" i="54"/>
  <c r="AF25" i="54"/>
  <c r="AD25" i="54"/>
  <c r="AC25" i="54"/>
  <c r="AB25" i="54"/>
  <c r="AG24" i="54"/>
  <c r="AF24" i="54"/>
  <c r="AD24" i="54"/>
  <c r="AC24" i="54"/>
  <c r="AB24" i="54"/>
  <c r="AG23" i="54"/>
  <c r="AF23" i="54"/>
  <c r="AD23" i="54"/>
  <c r="AC23" i="54"/>
  <c r="AB23" i="54"/>
  <c r="AG22" i="54"/>
  <c r="AF22" i="54"/>
  <c r="AD22" i="54"/>
  <c r="AC22" i="54"/>
  <c r="AB22" i="54"/>
  <c r="AG21" i="54"/>
  <c r="AF21" i="54"/>
  <c r="AD21" i="54"/>
  <c r="AC21" i="54"/>
  <c r="AB21" i="54"/>
  <c r="AG20" i="54"/>
  <c r="AF20" i="54"/>
  <c r="AD20" i="54"/>
  <c r="AC20" i="54"/>
  <c r="AB20" i="54"/>
  <c r="AG19" i="54"/>
  <c r="AF19" i="54"/>
  <c r="AD19" i="54"/>
  <c r="AC19" i="54"/>
  <c r="AB19" i="54"/>
  <c r="AG18" i="54"/>
  <c r="AF18" i="54"/>
  <c r="AD18" i="54"/>
  <c r="AC18" i="54"/>
  <c r="AB18" i="54"/>
  <c r="AG17" i="54"/>
  <c r="AF17" i="54"/>
  <c r="AD17" i="54"/>
  <c r="AC17" i="54"/>
  <c r="AB17" i="54"/>
  <c r="AG16" i="54"/>
  <c r="AF16" i="54"/>
  <c r="AD16" i="54"/>
  <c r="AC16" i="54"/>
  <c r="AB16" i="54"/>
  <c r="AG15" i="54"/>
  <c r="AF15" i="54"/>
  <c r="AD15" i="54"/>
  <c r="AC15" i="54"/>
  <c r="AB15" i="54"/>
  <c r="AG14" i="54"/>
  <c r="AF14" i="54"/>
  <c r="AD14" i="54"/>
  <c r="AC14" i="54"/>
  <c r="AB14" i="54"/>
  <c r="AG13" i="54"/>
  <c r="AF13" i="54"/>
  <c r="AD13" i="54"/>
  <c r="AC13" i="54"/>
  <c r="AB13" i="54"/>
  <c r="AG12" i="54"/>
  <c r="AF12" i="54"/>
  <c r="AD12" i="54"/>
  <c r="AC12" i="54"/>
  <c r="AB12" i="54"/>
  <c r="AG11" i="54"/>
  <c r="AF11" i="54"/>
  <c r="AD11" i="54"/>
  <c r="AC11" i="54"/>
  <c r="AB11" i="54"/>
  <c r="AG10" i="54"/>
  <c r="AF10" i="54"/>
  <c r="AD10" i="54"/>
  <c r="AC10" i="54"/>
  <c r="AB10" i="54"/>
  <c r="AG9" i="54"/>
  <c r="AF9" i="54"/>
  <c r="AD9" i="54"/>
  <c r="AC9" i="54"/>
  <c r="AB9" i="54"/>
  <c r="AG8" i="54"/>
  <c r="AF8" i="54"/>
  <c r="AD8" i="54"/>
  <c r="AC8" i="54"/>
  <c r="AB8" i="54"/>
  <c r="AG7" i="54"/>
  <c r="AF7" i="54"/>
  <c r="AD7" i="54"/>
  <c r="AC7" i="54"/>
  <c r="AB7" i="54"/>
  <c r="AG6" i="54"/>
  <c r="AF6" i="54"/>
  <c r="AD6" i="54"/>
  <c r="AC6" i="54"/>
  <c r="AB6" i="54"/>
  <c r="AG5" i="54"/>
  <c r="AF5" i="54"/>
  <c r="AD5" i="54"/>
  <c r="AC5" i="54"/>
  <c r="AB5" i="54"/>
  <c r="H3" i="54"/>
  <c r="M3" i="54" s="1"/>
  <c r="R3" i="54" s="1"/>
  <c r="AB50" i="51"/>
  <c r="AC50" i="51"/>
  <c r="AE50" i="51" s="1"/>
  <c r="AD50" i="51"/>
  <c r="AF50" i="51"/>
  <c r="AG50" i="51"/>
  <c r="AB50" i="49"/>
  <c r="AC50" i="49"/>
  <c r="AD50" i="49"/>
  <c r="AF50" i="49"/>
  <c r="AG50" i="49"/>
  <c r="AB50" i="42"/>
  <c r="AC50" i="42"/>
  <c r="AD50" i="42"/>
  <c r="AF50" i="42"/>
  <c r="AG50" i="42"/>
  <c r="AB50" i="20"/>
  <c r="AC50" i="20"/>
  <c r="AD50" i="20"/>
  <c r="AF50" i="20"/>
  <c r="AG50" i="20"/>
  <c r="AB50" i="19"/>
  <c r="AC50" i="19"/>
  <c r="AD50" i="19"/>
  <c r="AE50" i="19" s="1"/>
  <c r="AF50" i="19"/>
  <c r="AG50" i="19"/>
  <c r="AB50" i="18"/>
  <c r="AC50" i="18"/>
  <c r="AD50" i="18"/>
  <c r="AF50" i="18"/>
  <c r="AG50" i="18"/>
  <c r="AB50" i="17"/>
  <c r="AC50" i="17"/>
  <c r="AD50" i="17"/>
  <c r="AF50" i="17"/>
  <c r="AG50" i="17"/>
  <c r="AB50" i="16"/>
  <c r="AC50" i="16"/>
  <c r="AD50" i="16"/>
  <c r="AF50" i="16"/>
  <c r="AG50" i="16"/>
  <c r="AF5" i="51"/>
  <c r="AF6" i="20"/>
  <c r="AF7" i="20"/>
  <c r="AF8" i="20"/>
  <c r="AF9" i="20"/>
  <c r="AF10" i="20"/>
  <c r="AF11" i="20"/>
  <c r="AF12" i="20"/>
  <c r="AF13" i="20"/>
  <c r="AF14" i="20"/>
  <c r="AF15" i="20"/>
  <c r="AF16" i="20"/>
  <c r="AF17" i="20"/>
  <c r="AF18" i="20"/>
  <c r="AF19" i="20"/>
  <c r="AF20" i="20"/>
  <c r="AF21" i="20"/>
  <c r="AF22" i="20"/>
  <c r="AF23" i="20"/>
  <c r="AF24" i="20"/>
  <c r="AF25" i="20"/>
  <c r="AF26" i="20"/>
  <c r="AF27" i="20"/>
  <c r="AF28" i="20"/>
  <c r="AF29" i="20"/>
  <c r="AF30" i="20"/>
  <c r="AF31" i="20"/>
  <c r="AF32" i="20"/>
  <c r="AF33" i="20"/>
  <c r="AF34" i="20"/>
  <c r="AF35" i="20"/>
  <c r="AF36" i="20"/>
  <c r="AF37" i="20"/>
  <c r="AF38" i="20"/>
  <c r="AF39" i="20"/>
  <c r="AF40" i="20"/>
  <c r="AF41" i="20"/>
  <c r="AF42" i="20"/>
  <c r="AF43" i="20"/>
  <c r="AF44" i="20"/>
  <c r="AF45" i="20"/>
  <c r="AF46" i="20"/>
  <c r="AF47" i="20"/>
  <c r="AF48" i="20"/>
  <c r="AF49" i="20"/>
  <c r="AF5" i="20"/>
  <c r="AF6" i="19"/>
  <c r="AF7" i="19"/>
  <c r="AF8" i="19"/>
  <c r="AF9" i="19"/>
  <c r="AF10" i="19"/>
  <c r="AF11" i="19"/>
  <c r="AF12" i="19"/>
  <c r="AF13" i="19"/>
  <c r="AF14" i="19"/>
  <c r="AF15" i="19"/>
  <c r="AF16" i="19"/>
  <c r="AF17" i="19"/>
  <c r="AF18" i="19"/>
  <c r="AF19" i="19"/>
  <c r="AF20" i="19"/>
  <c r="AF21" i="19"/>
  <c r="AF22" i="19"/>
  <c r="AF23" i="19"/>
  <c r="AF24" i="19"/>
  <c r="AF25" i="19"/>
  <c r="AF26" i="19"/>
  <c r="AF27" i="19"/>
  <c r="AF28" i="19"/>
  <c r="AF29" i="19"/>
  <c r="AF30" i="19"/>
  <c r="AF31" i="19"/>
  <c r="AF32" i="19"/>
  <c r="AF33" i="19"/>
  <c r="AF34" i="19"/>
  <c r="AF35" i="19"/>
  <c r="AF36" i="19"/>
  <c r="AF37" i="19"/>
  <c r="AF38" i="19"/>
  <c r="AF39" i="19"/>
  <c r="AF40" i="19"/>
  <c r="AF41" i="19"/>
  <c r="AF42" i="19"/>
  <c r="AF43" i="19"/>
  <c r="AF44" i="19"/>
  <c r="AF45" i="19"/>
  <c r="AF46" i="19"/>
  <c r="AF47" i="19"/>
  <c r="AF48" i="19"/>
  <c r="AF49" i="19"/>
  <c r="AF5" i="19"/>
  <c r="AG5" i="18"/>
  <c r="AF6" i="18"/>
  <c r="AF7" i="18"/>
  <c r="AF8" i="18"/>
  <c r="AF9" i="18"/>
  <c r="AF10" i="18"/>
  <c r="AF11" i="18"/>
  <c r="AF12" i="18"/>
  <c r="AF13" i="18"/>
  <c r="AF14" i="18"/>
  <c r="AF15" i="18"/>
  <c r="AF16" i="18"/>
  <c r="AF17" i="18"/>
  <c r="AF18" i="18"/>
  <c r="AF19" i="18"/>
  <c r="AF20" i="18"/>
  <c r="AF21" i="18"/>
  <c r="AF22" i="18"/>
  <c r="AF23" i="18"/>
  <c r="AF24" i="18"/>
  <c r="AF25" i="18"/>
  <c r="AF26" i="18"/>
  <c r="AF27" i="18"/>
  <c r="AF28" i="18"/>
  <c r="AF29" i="18"/>
  <c r="AF30" i="18"/>
  <c r="AF31" i="18"/>
  <c r="AF32" i="18"/>
  <c r="AF33" i="18"/>
  <c r="AF34" i="18"/>
  <c r="AF35" i="18"/>
  <c r="AF36" i="18"/>
  <c r="AF37" i="18"/>
  <c r="AF38" i="18"/>
  <c r="AF39" i="18"/>
  <c r="AF40" i="18"/>
  <c r="AF41" i="18"/>
  <c r="AF42" i="18"/>
  <c r="AF43" i="18"/>
  <c r="AF44" i="18"/>
  <c r="AF45" i="18"/>
  <c r="AF46" i="18"/>
  <c r="AF47" i="18"/>
  <c r="AF48" i="18"/>
  <c r="AF49" i="18"/>
  <c r="AF5" i="18"/>
  <c r="AF6" i="17"/>
  <c r="AF7" i="17"/>
  <c r="AF8" i="17"/>
  <c r="AF9" i="17"/>
  <c r="AF10" i="17"/>
  <c r="AF11" i="17"/>
  <c r="AF12" i="17"/>
  <c r="AF13" i="17"/>
  <c r="AF14" i="17"/>
  <c r="AF15" i="17"/>
  <c r="AF16" i="17"/>
  <c r="AF17" i="17"/>
  <c r="AF18" i="17"/>
  <c r="AF19" i="17"/>
  <c r="AF20" i="17"/>
  <c r="AF21" i="17"/>
  <c r="AF22" i="17"/>
  <c r="AF23" i="17"/>
  <c r="AF24" i="17"/>
  <c r="AF25" i="17"/>
  <c r="AF26" i="17"/>
  <c r="AF27" i="17"/>
  <c r="AF28" i="17"/>
  <c r="AF29" i="17"/>
  <c r="AF30" i="17"/>
  <c r="AF31" i="17"/>
  <c r="AF32" i="17"/>
  <c r="AF33" i="17"/>
  <c r="AF34" i="17"/>
  <c r="AF35" i="17"/>
  <c r="AF36" i="17"/>
  <c r="AF37" i="17"/>
  <c r="AF38" i="17"/>
  <c r="AF39" i="17"/>
  <c r="AF40" i="17"/>
  <c r="AF41" i="17"/>
  <c r="AF42" i="17"/>
  <c r="AF43" i="17"/>
  <c r="AF44" i="17"/>
  <c r="AF45" i="17"/>
  <c r="AF46" i="17"/>
  <c r="AF47" i="17"/>
  <c r="AF48" i="17"/>
  <c r="AF49" i="17"/>
  <c r="AF5" i="17"/>
  <c r="AF6" i="16"/>
  <c r="AF7" i="16"/>
  <c r="AF8" i="16"/>
  <c r="AF9" i="16"/>
  <c r="AF10" i="16"/>
  <c r="AF11" i="16"/>
  <c r="AF12" i="16"/>
  <c r="AF13" i="16"/>
  <c r="AF14" i="16"/>
  <c r="AF15" i="16"/>
  <c r="AF16" i="16"/>
  <c r="AF17" i="16"/>
  <c r="AF18" i="16"/>
  <c r="AF19" i="16"/>
  <c r="AF20" i="16"/>
  <c r="AF21" i="16"/>
  <c r="AF22" i="16"/>
  <c r="AF23" i="16"/>
  <c r="AF24" i="16"/>
  <c r="AF25" i="16"/>
  <c r="AF26" i="16"/>
  <c r="AF27" i="16"/>
  <c r="AF28" i="16"/>
  <c r="AF29" i="16"/>
  <c r="AF30" i="16"/>
  <c r="AF31" i="16"/>
  <c r="AF32" i="16"/>
  <c r="AF33" i="16"/>
  <c r="AF34" i="16"/>
  <c r="AF35" i="16"/>
  <c r="AF36" i="16"/>
  <c r="AF37" i="16"/>
  <c r="AF38" i="16"/>
  <c r="AF39" i="16"/>
  <c r="AF40" i="16"/>
  <c r="AF41" i="16"/>
  <c r="AF42" i="16"/>
  <c r="AF43" i="16"/>
  <c r="AF44" i="16"/>
  <c r="AF45" i="16"/>
  <c r="AF46" i="16"/>
  <c r="AF47" i="16"/>
  <c r="AF48" i="16"/>
  <c r="AF49" i="16"/>
  <c r="AF5" i="16"/>
  <c r="AF5" i="3"/>
  <c r="AB6" i="49"/>
  <c r="AC6" i="49"/>
  <c r="AD6" i="49"/>
  <c r="AF6" i="49"/>
  <c r="AG6" i="49"/>
  <c r="AB7" i="49"/>
  <c r="AC7" i="49"/>
  <c r="AD7" i="49"/>
  <c r="AF7" i="49"/>
  <c r="AG7" i="49"/>
  <c r="AB8" i="49"/>
  <c r="AC8" i="49"/>
  <c r="AE8" i="49" s="1"/>
  <c r="AD8" i="49"/>
  <c r="AF8" i="49"/>
  <c r="AG8" i="49"/>
  <c r="AB9" i="49"/>
  <c r="AC9" i="49"/>
  <c r="AD9" i="49"/>
  <c r="AF9" i="49"/>
  <c r="AG9" i="49"/>
  <c r="AB10" i="49"/>
  <c r="AC10" i="49"/>
  <c r="AD10" i="49"/>
  <c r="AF10" i="49"/>
  <c r="AG10" i="49"/>
  <c r="AB11" i="49"/>
  <c r="AC11" i="49"/>
  <c r="AD11" i="49"/>
  <c r="AF11" i="49"/>
  <c r="AG11" i="49"/>
  <c r="AB12" i="49"/>
  <c r="AC12" i="49"/>
  <c r="AD12" i="49"/>
  <c r="AF12" i="49"/>
  <c r="AG12" i="49"/>
  <c r="AB13" i="49"/>
  <c r="AC13" i="49"/>
  <c r="AD13" i="49"/>
  <c r="AF13" i="49"/>
  <c r="AG13" i="49"/>
  <c r="AB14" i="49"/>
  <c r="AC14" i="49"/>
  <c r="AD14" i="49"/>
  <c r="AF14" i="49"/>
  <c r="AG14" i="49"/>
  <c r="AB15" i="49"/>
  <c r="AC15" i="49"/>
  <c r="AD15" i="49"/>
  <c r="AF15" i="49"/>
  <c r="AG15" i="49"/>
  <c r="AB16" i="49"/>
  <c r="AC16" i="49"/>
  <c r="AD16" i="49"/>
  <c r="AF16" i="49"/>
  <c r="AG16" i="49"/>
  <c r="AB17" i="49"/>
  <c r="AC17" i="49"/>
  <c r="AD17" i="49"/>
  <c r="AF17" i="49"/>
  <c r="AG17" i="49"/>
  <c r="AB18" i="49"/>
  <c r="AC18" i="49"/>
  <c r="AE18" i="49" s="1"/>
  <c r="AD18" i="49"/>
  <c r="AF18" i="49"/>
  <c r="AG18" i="49"/>
  <c r="AB19" i="49"/>
  <c r="AC19" i="49"/>
  <c r="AD19" i="49"/>
  <c r="AF19" i="49"/>
  <c r="AG19" i="49"/>
  <c r="AB20" i="49"/>
  <c r="AC20" i="49"/>
  <c r="AD20" i="49"/>
  <c r="AF20" i="49"/>
  <c r="AG20" i="49"/>
  <c r="AB21" i="49"/>
  <c r="AC21" i="49"/>
  <c r="AD21" i="49"/>
  <c r="AF21" i="49"/>
  <c r="AG21" i="49"/>
  <c r="AB22" i="49"/>
  <c r="AC22" i="49"/>
  <c r="AD22" i="49"/>
  <c r="AF22" i="49"/>
  <c r="AG22" i="49"/>
  <c r="AB23" i="49"/>
  <c r="AC23" i="49"/>
  <c r="AD23" i="49"/>
  <c r="AF23" i="49"/>
  <c r="AG23" i="49"/>
  <c r="AB24" i="49"/>
  <c r="AC24" i="49"/>
  <c r="AD24" i="49"/>
  <c r="AF24" i="49"/>
  <c r="AG24" i="49"/>
  <c r="AB25" i="49"/>
  <c r="AC25" i="49"/>
  <c r="AD25" i="49"/>
  <c r="AF25" i="49"/>
  <c r="AG25" i="49"/>
  <c r="AB26" i="49"/>
  <c r="AC26" i="49"/>
  <c r="AD26" i="49"/>
  <c r="AF26" i="49"/>
  <c r="AG26" i="49"/>
  <c r="AB27" i="49"/>
  <c r="AC27" i="49"/>
  <c r="AD27" i="49"/>
  <c r="AF27" i="49"/>
  <c r="AG27" i="49"/>
  <c r="AB28" i="49"/>
  <c r="AC28" i="49"/>
  <c r="AD28" i="49"/>
  <c r="AF28" i="49"/>
  <c r="AG28" i="49"/>
  <c r="AB29" i="49"/>
  <c r="AC29" i="49"/>
  <c r="AD29" i="49"/>
  <c r="AF29" i="49"/>
  <c r="AG29" i="49"/>
  <c r="AB30" i="49"/>
  <c r="AC30" i="49"/>
  <c r="AD30" i="49"/>
  <c r="AF30" i="49"/>
  <c r="AG30" i="49"/>
  <c r="AB31" i="49"/>
  <c r="AC31" i="49"/>
  <c r="AD31" i="49"/>
  <c r="AF31" i="49"/>
  <c r="AG31" i="49"/>
  <c r="AB32" i="49"/>
  <c r="AC32" i="49"/>
  <c r="AD32" i="49"/>
  <c r="AF32" i="49"/>
  <c r="AG32" i="49"/>
  <c r="AB33" i="49"/>
  <c r="AC33" i="49"/>
  <c r="AD33" i="49"/>
  <c r="AF33" i="49"/>
  <c r="AG33" i="49"/>
  <c r="AB34" i="49"/>
  <c r="AC34" i="49"/>
  <c r="AD34" i="49"/>
  <c r="AF34" i="49"/>
  <c r="AG34" i="49"/>
  <c r="AB35" i="49"/>
  <c r="AC35" i="49"/>
  <c r="AD35" i="49"/>
  <c r="AF35" i="49"/>
  <c r="AG35" i="49"/>
  <c r="AB36" i="49"/>
  <c r="AC36" i="49"/>
  <c r="AD36" i="49"/>
  <c r="AF36" i="49"/>
  <c r="AG36" i="49"/>
  <c r="AB37" i="49"/>
  <c r="AC37" i="49"/>
  <c r="AD37" i="49"/>
  <c r="AF37" i="49"/>
  <c r="AG37" i="49"/>
  <c r="AB38" i="49"/>
  <c r="AC38" i="49"/>
  <c r="AD38" i="49"/>
  <c r="AF38" i="49"/>
  <c r="AG38" i="49"/>
  <c r="AB39" i="49"/>
  <c r="AC39" i="49"/>
  <c r="AD39" i="49"/>
  <c r="AF39" i="49"/>
  <c r="AG39" i="49"/>
  <c r="AB40" i="49"/>
  <c r="AC40" i="49"/>
  <c r="AD40" i="49"/>
  <c r="AF40" i="49"/>
  <c r="AG40" i="49"/>
  <c r="AB41" i="49"/>
  <c r="AC41" i="49"/>
  <c r="AD41" i="49"/>
  <c r="AF41" i="49"/>
  <c r="AG41" i="49"/>
  <c r="AB42" i="49"/>
  <c r="AC42" i="49"/>
  <c r="AE42" i="49" s="1"/>
  <c r="AD42" i="49"/>
  <c r="AF42" i="49"/>
  <c r="AG42" i="49"/>
  <c r="AB43" i="49"/>
  <c r="AC43" i="49"/>
  <c r="AD43" i="49"/>
  <c r="AF43" i="49"/>
  <c r="AG43" i="49"/>
  <c r="AB44" i="49"/>
  <c r="AC44" i="49"/>
  <c r="AD44" i="49"/>
  <c r="AF44" i="49"/>
  <c r="AG44" i="49"/>
  <c r="AB45" i="49"/>
  <c r="AC45" i="49"/>
  <c r="AD45" i="49"/>
  <c r="AF45" i="49"/>
  <c r="AG45" i="49"/>
  <c r="AB46" i="49"/>
  <c r="AC46" i="49"/>
  <c r="AD46" i="49"/>
  <c r="AF46" i="49"/>
  <c r="AG46" i="49"/>
  <c r="AB47" i="49"/>
  <c r="AC47" i="49"/>
  <c r="AD47" i="49"/>
  <c r="AF47" i="49"/>
  <c r="AG47" i="49"/>
  <c r="AB48" i="49"/>
  <c r="AC48" i="49"/>
  <c r="AD48" i="49"/>
  <c r="AF48" i="49"/>
  <c r="AG48" i="49"/>
  <c r="AB49" i="49"/>
  <c r="AC49" i="49"/>
  <c r="AD49" i="49"/>
  <c r="AF49" i="49"/>
  <c r="AG49" i="49"/>
  <c r="AG49" i="51"/>
  <c r="AF49" i="51"/>
  <c r="AD49" i="51"/>
  <c r="AC49" i="51"/>
  <c r="AB49" i="51"/>
  <c r="AG48" i="51"/>
  <c r="AF48" i="51"/>
  <c r="AD48" i="51"/>
  <c r="AC48" i="51"/>
  <c r="AB48" i="51"/>
  <c r="AG47" i="51"/>
  <c r="AF47" i="51"/>
  <c r="AD47" i="51"/>
  <c r="AC47" i="51"/>
  <c r="AB47" i="51"/>
  <c r="AG46" i="51"/>
  <c r="AF46" i="51"/>
  <c r="AD46" i="51"/>
  <c r="AC46" i="51"/>
  <c r="AB46" i="51"/>
  <c r="AG45" i="51"/>
  <c r="AF45" i="51"/>
  <c r="AD45" i="51"/>
  <c r="AC45" i="51"/>
  <c r="AB45" i="51"/>
  <c r="AG44" i="51"/>
  <c r="AF44" i="51"/>
  <c r="AD44" i="51"/>
  <c r="AC44" i="51"/>
  <c r="AB44" i="51"/>
  <c r="AG43" i="51"/>
  <c r="AF43" i="51"/>
  <c r="AD43" i="51"/>
  <c r="AC43" i="51"/>
  <c r="AB43" i="51"/>
  <c r="AG42" i="51"/>
  <c r="AF42" i="51"/>
  <c r="AD42" i="51"/>
  <c r="AC42" i="51"/>
  <c r="AB42" i="51"/>
  <c r="AG41" i="51"/>
  <c r="AF41" i="51"/>
  <c r="AD41" i="51"/>
  <c r="AC41" i="51"/>
  <c r="AB41" i="51"/>
  <c r="AG40" i="51"/>
  <c r="AF40" i="51"/>
  <c r="AD40" i="51"/>
  <c r="AC40" i="51"/>
  <c r="AB40" i="51"/>
  <c r="AG39" i="51"/>
  <c r="AF39" i="51"/>
  <c r="AD39" i="51"/>
  <c r="AC39" i="51"/>
  <c r="AB39" i="51"/>
  <c r="AG38" i="51"/>
  <c r="AF38" i="51"/>
  <c r="AD38" i="51"/>
  <c r="AC38" i="51"/>
  <c r="AB38" i="51"/>
  <c r="AG37" i="51"/>
  <c r="AF37" i="51"/>
  <c r="AD37" i="51"/>
  <c r="AC37" i="51"/>
  <c r="AB37" i="51"/>
  <c r="AG36" i="51"/>
  <c r="AF36" i="51"/>
  <c r="AD36" i="51"/>
  <c r="AC36" i="51"/>
  <c r="AB36" i="51"/>
  <c r="AG35" i="51"/>
  <c r="AF35" i="51"/>
  <c r="AD35" i="51"/>
  <c r="AC35" i="51"/>
  <c r="AB35" i="51"/>
  <c r="AG34" i="51"/>
  <c r="AF34" i="51"/>
  <c r="AD34" i="51"/>
  <c r="AC34" i="51"/>
  <c r="AB34" i="51"/>
  <c r="AG33" i="51"/>
  <c r="AF33" i="51"/>
  <c r="AD33" i="51"/>
  <c r="AC33" i="51"/>
  <c r="AB33" i="51"/>
  <c r="AG32" i="51"/>
  <c r="AF32" i="51"/>
  <c r="AD32" i="51"/>
  <c r="AC32" i="51"/>
  <c r="AB32" i="51"/>
  <c r="AG31" i="51"/>
  <c r="AF31" i="51"/>
  <c r="AD31" i="51"/>
  <c r="AC31" i="51"/>
  <c r="AB31" i="51"/>
  <c r="AG30" i="51"/>
  <c r="AF30" i="51"/>
  <c r="AD30" i="51"/>
  <c r="AC30" i="51"/>
  <c r="AB30" i="51"/>
  <c r="AG29" i="51"/>
  <c r="AF29" i="51"/>
  <c r="AD29" i="51"/>
  <c r="AC29" i="51"/>
  <c r="AB29" i="51"/>
  <c r="AG28" i="51"/>
  <c r="AF28" i="51"/>
  <c r="AD28" i="51"/>
  <c r="AC28" i="51"/>
  <c r="AB28" i="51"/>
  <c r="AG27" i="51"/>
  <c r="AF27" i="51"/>
  <c r="AD27" i="51"/>
  <c r="AC27" i="51"/>
  <c r="AB27" i="51"/>
  <c r="AG26" i="51"/>
  <c r="AF26" i="51"/>
  <c r="AD26" i="51"/>
  <c r="AC26" i="51"/>
  <c r="AB26" i="51"/>
  <c r="AG25" i="51"/>
  <c r="AF25" i="51"/>
  <c r="AD25" i="51"/>
  <c r="AC25" i="51"/>
  <c r="AB25" i="51"/>
  <c r="AG24" i="51"/>
  <c r="AF24" i="51"/>
  <c r="AD24" i="51"/>
  <c r="AC24" i="51"/>
  <c r="AB24" i="51"/>
  <c r="AG23" i="51"/>
  <c r="AF23" i="51"/>
  <c r="AD23" i="51"/>
  <c r="AC23" i="51"/>
  <c r="AB23" i="51"/>
  <c r="AG22" i="51"/>
  <c r="AF22" i="51"/>
  <c r="AD22" i="51"/>
  <c r="AC22" i="51"/>
  <c r="AB22" i="51"/>
  <c r="AG21" i="51"/>
  <c r="AF21" i="51"/>
  <c r="AD21" i="51"/>
  <c r="AC21" i="51"/>
  <c r="AB21" i="51"/>
  <c r="AG20" i="51"/>
  <c r="AF20" i="51"/>
  <c r="AD20" i="51"/>
  <c r="AC20" i="51"/>
  <c r="AB20" i="51"/>
  <c r="AG19" i="51"/>
  <c r="AF19" i="51"/>
  <c r="AD19" i="51"/>
  <c r="AC19" i="51"/>
  <c r="AB19" i="51"/>
  <c r="AG18" i="51"/>
  <c r="AF18" i="51"/>
  <c r="AD18" i="51"/>
  <c r="AC18" i="51"/>
  <c r="AB18" i="51"/>
  <c r="AG17" i="51"/>
  <c r="AF17" i="51"/>
  <c r="AD17" i="51"/>
  <c r="AC17" i="51"/>
  <c r="AB17" i="51"/>
  <c r="AG16" i="51"/>
  <c r="AF16" i="51"/>
  <c r="AD16" i="51"/>
  <c r="AC16" i="51"/>
  <c r="AB16" i="51"/>
  <c r="AG15" i="51"/>
  <c r="AF15" i="51"/>
  <c r="AD15" i="51"/>
  <c r="AC15" i="51"/>
  <c r="AB15" i="51"/>
  <c r="AG14" i="51"/>
  <c r="AF14" i="51"/>
  <c r="AD14" i="51"/>
  <c r="AC14" i="51"/>
  <c r="AB14" i="51"/>
  <c r="AG13" i="51"/>
  <c r="AF13" i="51"/>
  <c r="AD13" i="51"/>
  <c r="AC13" i="51"/>
  <c r="AB13" i="51"/>
  <c r="AG12" i="51"/>
  <c r="AF12" i="51"/>
  <c r="AD12" i="51"/>
  <c r="AC12" i="51"/>
  <c r="AB12" i="51"/>
  <c r="AG11" i="51"/>
  <c r="AF11" i="51"/>
  <c r="AD11" i="51"/>
  <c r="AC11" i="51"/>
  <c r="AB11" i="51"/>
  <c r="AG10" i="51"/>
  <c r="AF10" i="51"/>
  <c r="AD10" i="51"/>
  <c r="AC10" i="51"/>
  <c r="AB10" i="51"/>
  <c r="AG9" i="51"/>
  <c r="AF9" i="51"/>
  <c r="AD9" i="51"/>
  <c r="AC9" i="51"/>
  <c r="AB9" i="51"/>
  <c r="AG8" i="51"/>
  <c r="AF8" i="51"/>
  <c r="AD8" i="51"/>
  <c r="AC8" i="51"/>
  <c r="AB8" i="51"/>
  <c r="AG7" i="51"/>
  <c r="AF7" i="51"/>
  <c r="AD7" i="51"/>
  <c r="AC7" i="51"/>
  <c r="AB7" i="51"/>
  <c r="AG6" i="51"/>
  <c r="AF6" i="51"/>
  <c r="AD6" i="51"/>
  <c r="AC6" i="51"/>
  <c r="AB6" i="51"/>
  <c r="AG5" i="51"/>
  <c r="AD5" i="51"/>
  <c r="AC5" i="51"/>
  <c r="AB5" i="51"/>
  <c r="H3" i="51"/>
  <c r="M3" i="51" s="1"/>
  <c r="R3" i="51" s="1"/>
  <c r="W3" i="51" s="1"/>
  <c r="AB49" i="42"/>
  <c r="AC49" i="42"/>
  <c r="AD49" i="42"/>
  <c r="AF49" i="42"/>
  <c r="AG49" i="42"/>
  <c r="AB49" i="20"/>
  <c r="AC49" i="20"/>
  <c r="AD49" i="20"/>
  <c r="AG49" i="20"/>
  <c r="AB49" i="19"/>
  <c r="AC49" i="19"/>
  <c r="AD49" i="19"/>
  <c r="AG49" i="19"/>
  <c r="AB49" i="18"/>
  <c r="AC49" i="18"/>
  <c r="AD49" i="18"/>
  <c r="AG49" i="18"/>
  <c r="AB49" i="17"/>
  <c r="AC49" i="17"/>
  <c r="AD49" i="17"/>
  <c r="AG49" i="17"/>
  <c r="AB49" i="16"/>
  <c r="AC49" i="16"/>
  <c r="AD49" i="16"/>
  <c r="AG49" i="16"/>
  <c r="AC6" i="18"/>
  <c r="AC7" i="18"/>
  <c r="AC8" i="18"/>
  <c r="AC9" i="18"/>
  <c r="AC10" i="18"/>
  <c r="AC11" i="18"/>
  <c r="AC12" i="18"/>
  <c r="AC13" i="18"/>
  <c r="AC14" i="18"/>
  <c r="AC15" i="18"/>
  <c r="AC16" i="18"/>
  <c r="AC17" i="18"/>
  <c r="AC18" i="18"/>
  <c r="AC19" i="18"/>
  <c r="AC20" i="18"/>
  <c r="AC21" i="18"/>
  <c r="AC22" i="18"/>
  <c r="AC23" i="18"/>
  <c r="AC24" i="18"/>
  <c r="AC25" i="18"/>
  <c r="AC26" i="18"/>
  <c r="AC27" i="18"/>
  <c r="AC28" i="18"/>
  <c r="AC29" i="18"/>
  <c r="AC30" i="18"/>
  <c r="AC31" i="18"/>
  <c r="AC32" i="18"/>
  <c r="AC33" i="18"/>
  <c r="AC34" i="18"/>
  <c r="AC35" i="18"/>
  <c r="AC36" i="18"/>
  <c r="AC37" i="18"/>
  <c r="AC38" i="18"/>
  <c r="AC39" i="18"/>
  <c r="AC40" i="18"/>
  <c r="AC41" i="18"/>
  <c r="AC42" i="18"/>
  <c r="AC43" i="18"/>
  <c r="AC44" i="18"/>
  <c r="AC45" i="18"/>
  <c r="AC46" i="18"/>
  <c r="AC47" i="18"/>
  <c r="AC48" i="18"/>
  <c r="AC5" i="18"/>
  <c r="AC6" i="17"/>
  <c r="AC7" i="17"/>
  <c r="AC8" i="17"/>
  <c r="AC9" i="17"/>
  <c r="AC10" i="17"/>
  <c r="AC11" i="17"/>
  <c r="AC12" i="17"/>
  <c r="AC13" i="17"/>
  <c r="AC14" i="17"/>
  <c r="AC15" i="17"/>
  <c r="AC16" i="17"/>
  <c r="AC17" i="17"/>
  <c r="AC18" i="17"/>
  <c r="AC19" i="17"/>
  <c r="AC20" i="17"/>
  <c r="AC21" i="17"/>
  <c r="AC22" i="17"/>
  <c r="AC23" i="17"/>
  <c r="AC24" i="17"/>
  <c r="AC25" i="17"/>
  <c r="AC26" i="17"/>
  <c r="AC27" i="17"/>
  <c r="AC28" i="17"/>
  <c r="AC29" i="17"/>
  <c r="AC30" i="17"/>
  <c r="AC31" i="17"/>
  <c r="AC32" i="17"/>
  <c r="AC33" i="17"/>
  <c r="AC34" i="17"/>
  <c r="AC35" i="17"/>
  <c r="AC36" i="17"/>
  <c r="AC37" i="17"/>
  <c r="AC38" i="17"/>
  <c r="AC39" i="17"/>
  <c r="AC40" i="17"/>
  <c r="AC41" i="17"/>
  <c r="AC42" i="17"/>
  <c r="AC43" i="17"/>
  <c r="AC44" i="17"/>
  <c r="AC45" i="17"/>
  <c r="AC46" i="17"/>
  <c r="AC47" i="17"/>
  <c r="AC48" i="17"/>
  <c r="AC6" i="16"/>
  <c r="AC7" i="16"/>
  <c r="AC8" i="16"/>
  <c r="AC9" i="16"/>
  <c r="AC10" i="16"/>
  <c r="AC11" i="16"/>
  <c r="AC12" i="16"/>
  <c r="AC13" i="16"/>
  <c r="AC14" i="16"/>
  <c r="AC15" i="16"/>
  <c r="AC16" i="16"/>
  <c r="AC17" i="16"/>
  <c r="AC18" i="16"/>
  <c r="AC19" i="16"/>
  <c r="AC20" i="16"/>
  <c r="AC21" i="16"/>
  <c r="AC22" i="16"/>
  <c r="AC23" i="16"/>
  <c r="AC24" i="16"/>
  <c r="AC25" i="16"/>
  <c r="AC26" i="16"/>
  <c r="AC27" i="16"/>
  <c r="AC28" i="16"/>
  <c r="AC29" i="16"/>
  <c r="AC30" i="16"/>
  <c r="AC31" i="16"/>
  <c r="AC32" i="16"/>
  <c r="AC33" i="16"/>
  <c r="AC34" i="16"/>
  <c r="AC35" i="16"/>
  <c r="AC36" i="16"/>
  <c r="AC37" i="16"/>
  <c r="AC38" i="16"/>
  <c r="AC39" i="16"/>
  <c r="AC40" i="16"/>
  <c r="AC41" i="16"/>
  <c r="AC42" i="16"/>
  <c r="AC43" i="16"/>
  <c r="AC44" i="16"/>
  <c r="AC45" i="16"/>
  <c r="AC46" i="16"/>
  <c r="AC47" i="16"/>
  <c r="AC48" i="16"/>
  <c r="AC5" i="3"/>
  <c r="AG5" i="49"/>
  <c r="AF5" i="49"/>
  <c r="AD5" i="49"/>
  <c r="AC5" i="49"/>
  <c r="AB5" i="49"/>
  <c r="H3" i="49"/>
  <c r="M3" i="49" s="1"/>
  <c r="R3" i="49" s="1"/>
  <c r="AF6" i="42"/>
  <c r="AF7" i="42"/>
  <c r="AF8" i="42"/>
  <c r="AF9" i="42"/>
  <c r="AF10" i="42"/>
  <c r="AF11" i="42"/>
  <c r="AF12" i="42"/>
  <c r="AF13" i="42"/>
  <c r="AF14" i="42"/>
  <c r="AF15" i="42"/>
  <c r="AF16" i="42"/>
  <c r="AF17" i="42"/>
  <c r="AF18" i="42"/>
  <c r="AF19" i="42"/>
  <c r="AF20" i="42"/>
  <c r="AF21" i="42"/>
  <c r="AF22" i="42"/>
  <c r="AF23" i="42"/>
  <c r="AF24" i="42"/>
  <c r="AF25" i="42"/>
  <c r="AF26" i="42"/>
  <c r="AF27" i="42"/>
  <c r="AF28" i="42"/>
  <c r="AF29" i="42"/>
  <c r="AF30" i="42"/>
  <c r="AF31" i="42"/>
  <c r="AF32" i="42"/>
  <c r="AF33" i="42"/>
  <c r="AF34" i="42"/>
  <c r="AF35" i="42"/>
  <c r="AF36" i="42"/>
  <c r="AF37" i="42"/>
  <c r="AF38" i="42"/>
  <c r="AF39" i="42"/>
  <c r="AF40" i="42"/>
  <c r="AF41" i="42"/>
  <c r="AF42" i="42"/>
  <c r="AF43" i="42"/>
  <c r="AF44" i="42"/>
  <c r="AF45" i="42"/>
  <c r="AF46" i="42"/>
  <c r="AF47" i="42"/>
  <c r="AF48" i="42"/>
  <c r="AF5" i="42"/>
  <c r="AF48" i="48"/>
  <c r="AD48" i="48"/>
  <c r="AC48" i="48"/>
  <c r="AB48" i="48"/>
  <c r="AF47" i="48"/>
  <c r="AD47" i="48"/>
  <c r="AC47" i="48"/>
  <c r="AB47" i="48"/>
  <c r="AF46" i="48"/>
  <c r="AD46" i="48"/>
  <c r="AC46" i="48"/>
  <c r="AB46" i="48"/>
  <c r="AF45" i="48"/>
  <c r="AD45" i="48"/>
  <c r="AC45" i="48"/>
  <c r="AB45" i="48"/>
  <c r="AF44" i="48"/>
  <c r="AD44" i="48"/>
  <c r="AC44" i="48"/>
  <c r="AB44" i="48"/>
  <c r="AF43" i="48"/>
  <c r="AD43" i="48"/>
  <c r="AC43" i="48"/>
  <c r="AB43" i="48"/>
  <c r="AF42" i="48"/>
  <c r="AD42" i="48"/>
  <c r="AC42" i="48"/>
  <c r="AB42" i="48"/>
  <c r="AF41" i="48"/>
  <c r="AD41" i="48"/>
  <c r="AC41" i="48"/>
  <c r="AB41" i="48"/>
  <c r="AF40" i="48"/>
  <c r="AD40" i="48"/>
  <c r="AC40" i="48"/>
  <c r="AB40" i="48"/>
  <c r="AF39" i="48"/>
  <c r="AD39" i="48"/>
  <c r="AC39" i="48"/>
  <c r="AB39" i="48"/>
  <c r="AF38" i="48"/>
  <c r="AD38" i="48"/>
  <c r="AC38" i="48"/>
  <c r="AB38" i="48"/>
  <c r="AF37" i="48"/>
  <c r="AD37" i="48"/>
  <c r="AC37" i="48"/>
  <c r="AE37" i="48" s="1"/>
  <c r="AB37" i="48"/>
  <c r="AF36" i="48"/>
  <c r="AD36" i="48"/>
  <c r="AC36" i="48"/>
  <c r="AB36" i="48"/>
  <c r="AF35" i="48"/>
  <c r="AD35" i="48"/>
  <c r="AC35" i="48"/>
  <c r="AB35" i="48"/>
  <c r="AF34" i="48"/>
  <c r="AD34" i="48"/>
  <c r="AC34" i="48"/>
  <c r="AB34" i="48"/>
  <c r="AF33" i="48"/>
  <c r="AD33" i="48"/>
  <c r="AC33" i="48"/>
  <c r="AB33" i="48"/>
  <c r="AF32" i="48"/>
  <c r="AD32" i="48"/>
  <c r="AC32" i="48"/>
  <c r="AB32" i="48"/>
  <c r="AF31" i="48"/>
  <c r="AD31" i="48"/>
  <c r="AC31" i="48"/>
  <c r="AE31" i="48" s="1"/>
  <c r="AB31" i="48"/>
  <c r="AF30" i="48"/>
  <c r="AG30" i="48" s="1"/>
  <c r="AD30" i="48"/>
  <c r="AC30" i="48"/>
  <c r="AB30" i="48"/>
  <c r="AF29" i="48"/>
  <c r="AD29" i="48"/>
  <c r="AC29" i="48"/>
  <c r="AB29" i="48"/>
  <c r="AF28" i="48"/>
  <c r="AD28" i="48"/>
  <c r="AC28" i="48"/>
  <c r="AE28" i="48" s="1"/>
  <c r="AB28" i="48"/>
  <c r="AF27" i="48"/>
  <c r="AD27" i="48"/>
  <c r="AC27" i="48"/>
  <c r="AB27" i="48"/>
  <c r="AF26" i="48"/>
  <c r="AD26" i="48"/>
  <c r="AC26" i="48"/>
  <c r="AB26" i="48"/>
  <c r="AF25" i="48"/>
  <c r="AD25" i="48"/>
  <c r="AC25" i="48"/>
  <c r="AB25" i="48"/>
  <c r="AF24" i="48"/>
  <c r="AD24" i="48"/>
  <c r="AC24" i="48"/>
  <c r="AB24" i="48"/>
  <c r="AF23" i="48"/>
  <c r="AD23" i="48"/>
  <c r="AC23" i="48"/>
  <c r="AB23" i="48"/>
  <c r="AF22" i="48"/>
  <c r="AD22" i="48"/>
  <c r="AC22" i="48"/>
  <c r="AB22" i="48"/>
  <c r="AF21" i="48"/>
  <c r="AD21" i="48"/>
  <c r="AC21" i="48"/>
  <c r="AB21" i="48"/>
  <c r="AF20" i="48"/>
  <c r="AD20" i="48"/>
  <c r="AC20" i="48"/>
  <c r="AB20" i="48"/>
  <c r="AF19" i="48"/>
  <c r="AD19" i="48"/>
  <c r="AC19" i="48"/>
  <c r="AB19" i="48"/>
  <c r="AF18" i="48"/>
  <c r="AD18" i="48"/>
  <c r="AC18" i="48"/>
  <c r="AB18" i="48"/>
  <c r="AF17" i="48"/>
  <c r="AD17" i="48"/>
  <c r="AC17" i="48"/>
  <c r="AB17" i="48"/>
  <c r="AF16" i="48"/>
  <c r="AD16" i="48"/>
  <c r="AC16" i="48"/>
  <c r="AB16" i="48"/>
  <c r="AF15" i="48"/>
  <c r="AD15" i="48"/>
  <c r="AC15" i="48"/>
  <c r="AB15" i="48"/>
  <c r="AF14" i="48"/>
  <c r="AD14" i="48"/>
  <c r="AC14" i="48"/>
  <c r="AB14" i="48"/>
  <c r="AF13" i="48"/>
  <c r="AD13" i="48"/>
  <c r="AC13" i="48"/>
  <c r="AB13" i="48"/>
  <c r="AF12" i="48"/>
  <c r="AD12" i="48"/>
  <c r="AC12" i="48"/>
  <c r="AB12" i="48"/>
  <c r="AF11" i="48"/>
  <c r="AD11" i="48"/>
  <c r="AC11" i="48"/>
  <c r="AB11" i="48"/>
  <c r="AF10" i="48"/>
  <c r="AD10" i="48"/>
  <c r="AC10" i="48"/>
  <c r="AB10" i="48"/>
  <c r="AF9" i="48"/>
  <c r="AD9" i="48"/>
  <c r="AC9" i="48"/>
  <c r="AB9" i="48"/>
  <c r="AF8" i="48"/>
  <c r="AD8" i="48"/>
  <c r="AC8" i="48"/>
  <c r="AB8" i="48"/>
  <c r="AF7" i="48"/>
  <c r="AD7" i="48"/>
  <c r="AC7" i="48"/>
  <c r="AB7" i="48"/>
  <c r="AF6" i="48"/>
  <c r="AD6" i="48"/>
  <c r="AC6" i="48"/>
  <c r="AB6" i="48"/>
  <c r="AF5" i="48"/>
  <c r="AD5" i="48"/>
  <c r="AC5" i="48"/>
  <c r="AB5" i="48"/>
  <c r="M3" i="48"/>
  <c r="R3" i="48" s="1"/>
  <c r="W3" i="48" s="1"/>
  <c r="H3" i="48"/>
  <c r="AB48" i="42"/>
  <c r="AC48" i="42"/>
  <c r="AD48" i="42"/>
  <c r="AG48" i="42"/>
  <c r="AB48" i="20"/>
  <c r="AC48" i="20"/>
  <c r="AD48" i="20"/>
  <c r="AG48" i="20"/>
  <c r="AB48" i="19"/>
  <c r="AC48" i="19"/>
  <c r="AD48" i="19"/>
  <c r="AG48" i="19"/>
  <c r="AB48" i="18"/>
  <c r="AD48" i="18"/>
  <c r="AG48" i="18"/>
  <c r="AB48" i="17"/>
  <c r="AD48" i="17"/>
  <c r="AG48" i="17"/>
  <c r="AB48" i="16"/>
  <c r="AD48" i="16"/>
  <c r="AG48" i="16"/>
  <c r="AC41" i="27"/>
  <c r="W41" i="27"/>
  <c r="AC27" i="27"/>
  <c r="W27" i="27"/>
  <c r="AB47" i="20"/>
  <c r="AC47" i="20"/>
  <c r="AD47" i="20"/>
  <c r="AG47" i="20"/>
  <c r="AB47" i="19"/>
  <c r="AC47" i="19"/>
  <c r="AD47" i="19"/>
  <c r="AG47" i="19"/>
  <c r="AB47" i="18"/>
  <c r="AD47" i="18"/>
  <c r="AG47" i="18"/>
  <c r="AB47" i="17"/>
  <c r="AD47" i="17"/>
  <c r="AG47" i="17"/>
  <c r="AB47" i="16"/>
  <c r="AD47" i="16"/>
  <c r="AG47" i="16"/>
  <c r="AB47" i="42"/>
  <c r="AC47" i="42"/>
  <c r="AD47" i="42"/>
  <c r="AG47" i="42"/>
  <c r="AE6" i="48" l="1"/>
  <c r="AE50" i="17"/>
  <c r="AE36" i="3"/>
  <c r="AE11" i="3"/>
  <c r="AE52" i="18"/>
  <c r="AE19" i="49"/>
  <c r="AE50" i="42"/>
  <c r="AE50" i="16"/>
  <c r="AE48" i="49"/>
  <c r="AE39" i="49"/>
  <c r="AE50" i="20"/>
  <c r="AE15" i="3"/>
  <c r="AE17" i="49"/>
  <c r="AE46" i="3"/>
  <c r="AE22" i="3"/>
  <c r="AE51" i="49"/>
  <c r="AE36" i="49"/>
  <c r="AE12" i="49"/>
  <c r="AE41" i="3"/>
  <c r="AE24" i="55"/>
  <c r="AE45" i="49"/>
  <c r="AE52" i="3"/>
  <c r="AE51" i="54"/>
  <c r="AE51" i="16"/>
  <c r="AE51" i="17"/>
  <c r="AE28" i="3"/>
  <c r="AE47" i="3"/>
  <c r="AE35" i="3"/>
  <c r="AE18" i="3"/>
  <c r="AE52" i="49"/>
  <c r="AE25" i="49"/>
  <c r="AE7" i="55"/>
  <c r="AE14" i="55"/>
  <c r="AE13" i="3"/>
  <c r="J52" i="27"/>
  <c r="AT52" i="27" s="1"/>
  <c r="AE51" i="20"/>
  <c r="AE15" i="49"/>
  <c r="AE52" i="17"/>
  <c r="AE22" i="49"/>
  <c r="AE51" i="3"/>
  <c r="AE24" i="49"/>
  <c r="AE33" i="55"/>
  <c r="AE34" i="3"/>
  <c r="AE27" i="3"/>
  <c r="AE52" i="42"/>
  <c r="AE50" i="18"/>
  <c r="AE47" i="49"/>
  <c r="AE17" i="3"/>
  <c r="AE52" i="51"/>
  <c r="AE9" i="49"/>
  <c r="AE10" i="55"/>
  <c r="AE34" i="55"/>
  <c r="AE42" i="3"/>
  <c r="AE33" i="3"/>
  <c r="AE51" i="42"/>
  <c r="AE15" i="55"/>
  <c r="AG11" i="48"/>
  <c r="AE29" i="48"/>
  <c r="AE32" i="48"/>
  <c r="AE6" i="49"/>
  <c r="AE25" i="55"/>
  <c r="AE49" i="55"/>
  <c r="AE44" i="3"/>
  <c r="AE51" i="51"/>
  <c r="AE52" i="16"/>
  <c r="AE31" i="55"/>
  <c r="AE21" i="55"/>
  <c r="J51" i="27"/>
  <c r="AU51" i="27" s="1"/>
  <c r="AE52" i="54"/>
  <c r="D52" i="27"/>
  <c r="AE51" i="55"/>
  <c r="AE51" i="19"/>
  <c r="AE52" i="55"/>
  <c r="AE52" i="19"/>
  <c r="F52" i="27"/>
  <c r="AE44" i="48"/>
  <c r="AG7" i="48"/>
  <c r="AE7" i="48"/>
  <c r="AE25" i="48"/>
  <c r="AE46" i="55"/>
  <c r="AE44" i="55"/>
  <c r="I52" i="27"/>
  <c r="AE42" i="55"/>
  <c r="AE44" i="54"/>
  <c r="I51" i="27"/>
  <c r="D51" i="27"/>
  <c r="E51" i="27" s="1"/>
  <c r="AE5" i="54"/>
  <c r="AE8" i="54"/>
  <c r="AE25" i="54"/>
  <c r="AE14" i="54"/>
  <c r="AE42" i="54"/>
  <c r="F51" i="27"/>
  <c r="AE33" i="54"/>
  <c r="AE34" i="54"/>
  <c r="G51" i="27"/>
  <c r="G52" i="27"/>
  <c r="I34" i="27"/>
  <c r="I22" i="27"/>
  <c r="I19" i="27"/>
  <c r="AE46" i="49"/>
  <c r="AE16" i="49"/>
  <c r="AE7" i="49"/>
  <c r="AE50" i="49"/>
  <c r="AE33" i="49"/>
  <c r="I8" i="27"/>
  <c r="D49" i="27"/>
  <c r="E49" i="27" s="1"/>
  <c r="BC49" i="27" s="1"/>
  <c r="I10" i="27"/>
  <c r="I36" i="27"/>
  <c r="I27" i="27"/>
  <c r="I15" i="27"/>
  <c r="I38" i="27"/>
  <c r="F49" i="27"/>
  <c r="I29" i="27"/>
  <c r="I17" i="27"/>
  <c r="F47" i="27"/>
  <c r="I42" i="27"/>
  <c r="I25" i="27"/>
  <c r="I13" i="27"/>
  <c r="D47" i="27"/>
  <c r="I35" i="27"/>
  <c r="I28" i="27"/>
  <c r="I21" i="27"/>
  <c r="I7" i="27"/>
  <c r="G49" i="27"/>
  <c r="I44" i="27"/>
  <c r="I23" i="27"/>
  <c r="I16" i="27"/>
  <c r="J50" i="27"/>
  <c r="AT50" i="27" s="1"/>
  <c r="I48" i="27"/>
  <c r="I46" i="27"/>
  <c r="I37" i="27"/>
  <c r="I30" i="27"/>
  <c r="I9" i="27"/>
  <c r="I14" i="27"/>
  <c r="I50" i="27"/>
  <c r="I39" i="27"/>
  <c r="I32" i="27"/>
  <c r="I18" i="27"/>
  <c r="I11" i="27"/>
  <c r="G50" i="27"/>
  <c r="G48" i="27"/>
  <c r="I41" i="27"/>
  <c r="F48" i="27"/>
  <c r="I20" i="27"/>
  <c r="I6" i="27"/>
  <c r="D50" i="27"/>
  <c r="E50" i="27" s="1"/>
  <c r="AW50" i="27" s="1"/>
  <c r="D48" i="27"/>
  <c r="E48" i="27" s="1"/>
  <c r="I43" i="27"/>
  <c r="J49" i="27"/>
  <c r="AT49" i="27" s="1"/>
  <c r="I47" i="27"/>
  <c r="I45" i="27"/>
  <c r="I31" i="27"/>
  <c r="I24" i="27"/>
  <c r="I49" i="27"/>
  <c r="I40" i="27"/>
  <c r="G47" i="27"/>
  <c r="I33" i="27"/>
  <c r="I26" i="27"/>
  <c r="I12" i="27"/>
  <c r="AE6" i="3"/>
  <c r="AE50" i="3"/>
  <c r="AE31" i="3"/>
  <c r="AE39" i="3"/>
  <c r="AE16" i="3"/>
  <c r="AE43" i="3"/>
  <c r="AE24" i="3"/>
  <c r="AE9" i="3"/>
  <c r="AE7" i="3"/>
  <c r="AE45" i="3"/>
  <c r="AE30" i="3"/>
  <c r="AE26" i="3"/>
  <c r="F50" i="27"/>
  <c r="AE40" i="3"/>
  <c r="AE29" i="3"/>
  <c r="AE14" i="3"/>
  <c r="AE32" i="3"/>
  <c r="AE19" i="3"/>
  <c r="AE10" i="3"/>
  <c r="AE38" i="3"/>
  <c r="AE21" i="3"/>
  <c r="AE23" i="3"/>
  <c r="AE23" i="49"/>
  <c r="AE32" i="55"/>
  <c r="AE12" i="3"/>
  <c r="AE32" i="54"/>
  <c r="AE20" i="3"/>
  <c r="AE49" i="3"/>
  <c r="AE37" i="3"/>
  <c r="AE25" i="3"/>
  <c r="AE8" i="3"/>
  <c r="AE46" i="54"/>
  <c r="AE35" i="54"/>
  <c r="AE22" i="54"/>
  <c r="AE6" i="55"/>
  <c r="AE20" i="55"/>
  <c r="AE19" i="55"/>
  <c r="AE9" i="55"/>
  <c r="AE23" i="55"/>
  <c r="AE13" i="55"/>
  <c r="AE28" i="55"/>
  <c r="AE30" i="55"/>
  <c r="AE37" i="55"/>
  <c r="AE38" i="55"/>
  <c r="AE39" i="55"/>
  <c r="AE40" i="55"/>
  <c r="AE41" i="55"/>
  <c r="AE43" i="55"/>
  <c r="AE45" i="55"/>
  <c r="AE47" i="55"/>
  <c r="AE50" i="55"/>
  <c r="AE12" i="55"/>
  <c r="AE16" i="55"/>
  <c r="AE18" i="55"/>
  <c r="AE27" i="55"/>
  <c r="AE36" i="55"/>
  <c r="AE5" i="55"/>
  <c r="AE8" i="55"/>
  <c r="AE11" i="55"/>
  <c r="AE22" i="55"/>
  <c r="AE26" i="55"/>
  <c r="AE35" i="55"/>
  <c r="AE48" i="55"/>
  <c r="AE11" i="54"/>
  <c r="AE20" i="54"/>
  <c r="AE49" i="54"/>
  <c r="AE26" i="54"/>
  <c r="AE29" i="54"/>
  <c r="AE31" i="54"/>
  <c r="AE19" i="54"/>
  <c r="AE10" i="54"/>
  <c r="AE24" i="54"/>
  <c r="AE38" i="54"/>
  <c r="AE15" i="54"/>
  <c r="AE40" i="54"/>
  <c r="AE9" i="54"/>
  <c r="AE18" i="54"/>
  <c r="AE23" i="54"/>
  <c r="AE28" i="54"/>
  <c r="AE13" i="54"/>
  <c r="AE37" i="54"/>
  <c r="AE17" i="54"/>
  <c r="AE27" i="54"/>
  <c r="AE39" i="54"/>
  <c r="AE12" i="54"/>
  <c r="AE7" i="54"/>
  <c r="AE21" i="54"/>
  <c r="AE30" i="54"/>
  <c r="AE41" i="54"/>
  <c r="AE6" i="54"/>
  <c r="AE16" i="54"/>
  <c r="AE43" i="54"/>
  <c r="AE45" i="54"/>
  <c r="AE47" i="54"/>
  <c r="AE50" i="54"/>
  <c r="AE36" i="54"/>
  <c r="AE48" i="54"/>
  <c r="AE28" i="49"/>
  <c r="AE41" i="49"/>
  <c r="I5" i="27"/>
  <c r="AE40" i="49"/>
  <c r="AE29" i="49"/>
  <c r="AE35" i="49"/>
  <c r="AE34" i="49"/>
  <c r="AE30" i="49"/>
  <c r="AE27" i="49"/>
  <c r="AE21" i="49"/>
  <c r="AE13" i="49"/>
  <c r="AE11" i="49"/>
  <c r="AE10" i="49"/>
  <c r="AE44" i="49"/>
  <c r="AE38" i="49"/>
  <c r="AE32" i="49"/>
  <c r="AE26" i="49"/>
  <c r="AE20" i="49"/>
  <c r="AE14" i="49"/>
  <c r="AE49" i="49"/>
  <c r="AE43" i="49"/>
  <c r="AE37" i="49"/>
  <c r="AE31" i="49"/>
  <c r="AE36" i="51"/>
  <c r="AE40" i="51"/>
  <c r="AE6" i="51"/>
  <c r="AE8" i="51"/>
  <c r="AE19" i="51"/>
  <c r="AE31" i="51"/>
  <c r="AE7" i="51"/>
  <c r="AE14" i="51"/>
  <c r="AE49" i="51"/>
  <c r="AE42" i="51"/>
  <c r="AE44" i="51"/>
  <c r="AE46" i="51"/>
  <c r="AE16" i="51"/>
  <c r="AE24" i="51"/>
  <c r="AE10" i="51"/>
  <c r="AE21" i="51"/>
  <c r="AE20" i="51"/>
  <c r="AE13" i="51"/>
  <c r="AE27" i="51"/>
  <c r="AE22" i="51"/>
  <c r="AE25" i="51"/>
  <c r="AE30" i="51"/>
  <c r="AE37" i="51"/>
  <c r="AE38" i="51"/>
  <c r="AE48" i="51"/>
  <c r="AE12" i="51"/>
  <c r="AE17" i="51"/>
  <c r="AE5" i="51"/>
  <c r="AE9" i="51"/>
  <c r="AE11" i="51"/>
  <c r="AE23" i="51"/>
  <c r="AE26" i="51"/>
  <c r="AE15" i="51"/>
  <c r="AE18" i="51"/>
  <c r="AE29" i="51"/>
  <c r="AE32" i="51"/>
  <c r="AE33" i="51"/>
  <c r="AE47" i="51"/>
  <c r="AE35" i="51"/>
  <c r="AE41" i="51"/>
  <c r="AE45" i="51"/>
  <c r="AE28" i="51"/>
  <c r="AE34" i="51"/>
  <c r="AE39" i="51"/>
  <c r="AE43" i="51"/>
  <c r="AE49" i="42"/>
  <c r="AE49" i="20"/>
  <c r="AE49" i="19"/>
  <c r="AE49" i="18"/>
  <c r="AE49" i="17"/>
  <c r="AE49" i="16"/>
  <c r="AG39" i="48"/>
  <c r="AE36" i="48"/>
  <c r="AE42" i="48"/>
  <c r="AE48" i="48"/>
  <c r="AE23" i="48"/>
  <c r="AE35" i="48"/>
  <c r="AG33" i="48"/>
  <c r="AG9" i="48"/>
  <c r="AE9" i="48"/>
  <c r="AG14" i="48"/>
  <c r="AE34" i="48"/>
  <c r="AE40" i="48"/>
  <c r="AE46" i="48"/>
  <c r="AE11" i="48"/>
  <c r="AE38" i="48"/>
  <c r="AG19" i="48"/>
  <c r="AG48" i="48"/>
  <c r="J48" i="27" s="1"/>
  <c r="AS48" i="27" s="1"/>
  <c r="AG20" i="48"/>
  <c r="AG28" i="48"/>
  <c r="AG40" i="48"/>
  <c r="AG6" i="48"/>
  <c r="AE19" i="48"/>
  <c r="AE30" i="48"/>
  <c r="AG34" i="48"/>
  <c r="AG36" i="48"/>
  <c r="AE5" i="49"/>
  <c r="AG5" i="48"/>
  <c r="AG13" i="48"/>
  <c r="AE13" i="48"/>
  <c r="AE15" i="48"/>
  <c r="AG15" i="48"/>
  <c r="AG45" i="48"/>
  <c r="AE45" i="48"/>
  <c r="AE5" i="48"/>
  <c r="AE12" i="48"/>
  <c r="AG12" i="48"/>
  <c r="AE17" i="48"/>
  <c r="AG21" i="48"/>
  <c r="AG47" i="48"/>
  <c r="J47" i="27" s="1"/>
  <c r="AS47" i="27" s="1"/>
  <c r="AE47" i="48"/>
  <c r="AE10" i="48"/>
  <c r="AG10" i="48"/>
  <c r="AE24" i="48"/>
  <c r="AG24" i="48"/>
  <c r="AG26" i="48"/>
  <c r="AG27" i="48"/>
  <c r="AE27" i="48"/>
  <c r="AE16" i="48"/>
  <c r="AG16" i="48"/>
  <c r="AG17" i="48"/>
  <c r="AE21" i="48"/>
  <c r="AG41" i="48"/>
  <c r="AE41" i="48"/>
  <c r="AG8" i="48"/>
  <c r="AE18" i="48"/>
  <c r="AG18" i="48"/>
  <c r="AG22" i="48"/>
  <c r="AG43" i="48"/>
  <c r="AE43" i="48"/>
  <c r="AE8" i="48"/>
  <c r="AE14" i="48"/>
  <c r="AE20" i="48"/>
  <c r="AE22" i="48"/>
  <c r="AE26" i="48"/>
  <c r="AG32" i="48"/>
  <c r="AG38" i="48"/>
  <c r="AG42" i="48"/>
  <c r="AG44" i="48"/>
  <c r="AG46" i="48"/>
  <c r="AG23" i="48"/>
  <c r="AG25" i="48"/>
  <c r="AG29" i="48"/>
  <c r="AG31" i="48"/>
  <c r="AG35" i="48"/>
  <c r="AG37" i="48"/>
  <c r="AE33" i="48"/>
  <c r="AE39" i="48"/>
  <c r="AE48" i="20"/>
  <c r="AE47" i="17"/>
  <c r="AE48" i="16"/>
  <c r="AE48" i="42"/>
  <c r="AE48" i="19"/>
  <c r="AE48" i="18"/>
  <c r="AE48" i="17"/>
  <c r="AE47" i="20"/>
  <c r="AE47" i="18"/>
  <c r="AE47" i="19"/>
  <c r="AE47" i="16"/>
  <c r="AE47" i="42"/>
  <c r="AB5" i="3"/>
  <c r="AX49" i="27" l="1"/>
  <c r="H51" i="27"/>
  <c r="AZ49" i="27"/>
  <c r="H52" i="27"/>
  <c r="AZ50" i="27"/>
  <c r="AY49" i="27"/>
  <c r="E52" i="27"/>
  <c r="AY52" i="27" s="1"/>
  <c r="BC50" i="27"/>
  <c r="AX50" i="27"/>
  <c r="AY50" i="27"/>
  <c r="AW49" i="27"/>
  <c r="E47" i="27"/>
  <c r="AZ47" i="27" s="1"/>
  <c r="H48" i="27"/>
  <c r="AY51" i="27"/>
  <c r="AZ51" i="27"/>
  <c r="AX51" i="27"/>
  <c r="BC51" i="27"/>
  <c r="AW51" i="27"/>
  <c r="AZ52" i="27"/>
  <c r="BC52" i="27"/>
  <c r="AW52" i="27"/>
  <c r="AX52" i="27"/>
  <c r="BC48" i="27"/>
  <c r="AX48" i="27"/>
  <c r="AZ48" i="27"/>
  <c r="AY48" i="27"/>
  <c r="AW48" i="27"/>
  <c r="H50" i="27"/>
  <c r="S10" i="27"/>
  <c r="T10" i="27" s="1"/>
  <c r="H47" i="27"/>
  <c r="H49" i="27"/>
  <c r="S27" i="27"/>
  <c r="T27" i="27" s="1"/>
  <c r="S51" i="27"/>
  <c r="T51" i="27" s="1"/>
  <c r="S38" i="27"/>
  <c r="T38" i="27" s="1"/>
  <c r="S48" i="27"/>
  <c r="T48" i="27" s="1"/>
  <c r="S47" i="27"/>
  <c r="T47" i="27" s="1"/>
  <c r="S28" i="27"/>
  <c r="T28" i="27" s="1"/>
  <c r="S6" i="27"/>
  <c r="T6" i="27" s="1"/>
  <c r="S50" i="27"/>
  <c r="T50" i="27" s="1"/>
  <c r="S17" i="27"/>
  <c r="T17" i="27" s="1"/>
  <c r="S52" i="27"/>
  <c r="T52" i="27" s="1"/>
  <c r="S20" i="27"/>
  <c r="T20" i="27" s="1"/>
  <c r="S7" i="27"/>
  <c r="T7" i="27" s="1"/>
  <c r="S13" i="27"/>
  <c r="T13" i="27" s="1"/>
  <c r="S36" i="27"/>
  <c r="T36" i="27" s="1"/>
  <c r="S32" i="27"/>
  <c r="T32" i="27" s="1"/>
  <c r="S30" i="27"/>
  <c r="T30" i="27" s="1"/>
  <c r="S44" i="27"/>
  <c r="T44" i="27" s="1"/>
  <c r="S11" i="27"/>
  <c r="T11" i="27" s="1"/>
  <c r="S42" i="27"/>
  <c r="T42" i="27" s="1"/>
  <c r="S16" i="27"/>
  <c r="T16" i="27" s="1"/>
  <c r="S34" i="27"/>
  <c r="T34" i="27" s="1"/>
  <c r="S8" i="27"/>
  <c r="T8" i="27" s="1"/>
  <c r="S33" i="27"/>
  <c r="T33" i="27" s="1"/>
  <c r="S45" i="27"/>
  <c r="T45" i="27" s="1"/>
  <c r="S26" i="27"/>
  <c r="T26" i="27" s="1"/>
  <c r="S41" i="27"/>
  <c r="T41" i="27" s="1"/>
  <c r="S15" i="27"/>
  <c r="T15" i="27" s="1"/>
  <c r="S40" i="27"/>
  <c r="T40" i="27" s="1"/>
  <c r="S46" i="27"/>
  <c r="T46" i="27" s="1"/>
  <c r="S18" i="27"/>
  <c r="T18" i="27" s="1"/>
  <c r="S39" i="27"/>
  <c r="T39" i="27" s="1"/>
  <c r="S14" i="27"/>
  <c r="T14" i="27" s="1"/>
  <c r="S25" i="27"/>
  <c r="T25" i="27" s="1"/>
  <c r="S22" i="27"/>
  <c r="T22" i="27" s="1"/>
  <c r="S9" i="27"/>
  <c r="T9" i="27" s="1"/>
  <c r="S19" i="27"/>
  <c r="T19" i="27" s="1"/>
  <c r="S35" i="27"/>
  <c r="T35" i="27" s="1"/>
  <c r="S29" i="27"/>
  <c r="T29" i="27" s="1"/>
  <c r="S24" i="27"/>
  <c r="T24" i="27" s="1"/>
  <c r="S31" i="27"/>
  <c r="T31" i="27" s="1"/>
  <c r="S37" i="27"/>
  <c r="T37" i="27" s="1"/>
  <c r="S43" i="27"/>
  <c r="T43" i="27" s="1"/>
  <c r="S23" i="27"/>
  <c r="T23" i="27" s="1"/>
  <c r="S49" i="27"/>
  <c r="T49" i="27" s="1"/>
  <c r="S21" i="27"/>
  <c r="T21" i="27" s="1"/>
  <c r="S12" i="27"/>
  <c r="T12" i="27" s="1"/>
  <c r="BM8" i="27"/>
  <c r="BM20" i="27"/>
  <c r="BM32" i="27"/>
  <c r="BM44" i="27"/>
  <c r="BM9" i="27"/>
  <c r="BM21" i="27"/>
  <c r="BM33" i="27"/>
  <c r="BM45" i="27"/>
  <c r="BM10" i="27"/>
  <c r="BM22" i="27"/>
  <c r="BM34" i="27"/>
  <c r="BM46" i="27"/>
  <c r="BM11" i="27"/>
  <c r="BM23" i="27"/>
  <c r="BM35" i="27"/>
  <c r="BM47" i="27"/>
  <c r="BM12" i="27"/>
  <c r="BM24" i="27"/>
  <c r="BM36" i="27"/>
  <c r="BM48" i="27"/>
  <c r="BM13" i="27"/>
  <c r="BM25" i="27"/>
  <c r="BM37" i="27"/>
  <c r="BM49" i="27"/>
  <c r="BM31" i="27"/>
  <c r="BM14" i="27"/>
  <c r="BM26" i="27"/>
  <c r="BM38" i="27"/>
  <c r="BM50" i="27"/>
  <c r="BM43" i="27"/>
  <c r="BM15" i="27"/>
  <c r="BM27" i="27"/>
  <c r="BM39" i="27"/>
  <c r="BM51" i="27"/>
  <c r="BM7" i="27"/>
  <c r="BM16" i="27"/>
  <c r="BM28" i="27"/>
  <c r="BM40" i="27"/>
  <c r="BM52" i="27"/>
  <c r="BM19" i="27"/>
  <c r="BM17" i="27"/>
  <c r="BM29" i="27"/>
  <c r="BM41" i="27"/>
  <c r="BM5" i="27"/>
  <c r="BM6" i="27"/>
  <c r="BM18" i="27"/>
  <c r="BM30" i="27"/>
  <c r="BM42" i="27"/>
  <c r="S5" i="27"/>
  <c r="T5" i="27" s="1"/>
  <c r="AG46" i="42"/>
  <c r="AD46" i="42"/>
  <c r="AC46" i="42"/>
  <c r="AB46" i="42"/>
  <c r="AG45" i="42"/>
  <c r="AD45" i="42"/>
  <c r="AC45" i="42"/>
  <c r="AB45" i="42"/>
  <c r="AG44" i="42"/>
  <c r="AD44" i="42"/>
  <c r="AC44" i="42"/>
  <c r="AB44" i="42"/>
  <c r="AG43" i="42"/>
  <c r="AD43" i="42"/>
  <c r="AC43" i="42"/>
  <c r="AB43" i="42"/>
  <c r="AG42" i="42"/>
  <c r="AD42" i="42"/>
  <c r="AC42" i="42"/>
  <c r="AB42" i="42"/>
  <c r="AG41" i="42"/>
  <c r="AD41" i="42"/>
  <c r="AC41" i="42"/>
  <c r="AB41" i="42"/>
  <c r="AG40" i="42"/>
  <c r="AD40" i="42"/>
  <c r="AC40" i="42"/>
  <c r="AB40" i="42"/>
  <c r="AG39" i="42"/>
  <c r="AD39" i="42"/>
  <c r="AC39" i="42"/>
  <c r="AB39" i="42"/>
  <c r="AG38" i="42"/>
  <c r="AD38" i="42"/>
  <c r="AC38" i="42"/>
  <c r="AB38" i="42"/>
  <c r="AG37" i="42"/>
  <c r="AD37" i="42"/>
  <c r="AC37" i="42"/>
  <c r="AB37" i="42"/>
  <c r="AG36" i="42"/>
  <c r="AD36" i="42"/>
  <c r="AC36" i="42"/>
  <c r="AB36" i="42"/>
  <c r="AG35" i="42"/>
  <c r="AD35" i="42"/>
  <c r="AC35" i="42"/>
  <c r="AB35" i="42"/>
  <c r="AG34" i="42"/>
  <c r="AD34" i="42"/>
  <c r="AC34" i="42"/>
  <c r="AB34" i="42"/>
  <c r="AG33" i="42"/>
  <c r="AD33" i="42"/>
  <c r="AC33" i="42"/>
  <c r="AB33" i="42"/>
  <c r="AG32" i="42"/>
  <c r="AD32" i="42"/>
  <c r="AC32" i="42"/>
  <c r="AB32" i="42"/>
  <c r="AG31" i="42"/>
  <c r="AD31" i="42"/>
  <c r="AC31" i="42"/>
  <c r="AB31" i="42"/>
  <c r="AG30" i="42"/>
  <c r="AD30" i="42"/>
  <c r="AC30" i="42"/>
  <c r="AB30" i="42"/>
  <c r="AG29" i="42"/>
  <c r="AD29" i="42"/>
  <c r="AC29" i="42"/>
  <c r="AB29" i="42"/>
  <c r="AG28" i="42"/>
  <c r="AD28" i="42"/>
  <c r="AC28" i="42"/>
  <c r="AB28" i="42"/>
  <c r="AG27" i="42"/>
  <c r="AD27" i="42"/>
  <c r="AC27" i="42"/>
  <c r="AB27" i="42"/>
  <c r="AG26" i="42"/>
  <c r="AD26" i="42"/>
  <c r="AC26" i="42"/>
  <c r="AB26" i="42"/>
  <c r="AG25" i="42"/>
  <c r="AD25" i="42"/>
  <c r="AC25" i="42"/>
  <c r="AB25" i="42"/>
  <c r="AG24" i="42"/>
  <c r="AD24" i="42"/>
  <c r="AC24" i="42"/>
  <c r="AB24" i="42"/>
  <c r="AG23" i="42"/>
  <c r="AD23" i="42"/>
  <c r="AC23" i="42"/>
  <c r="AB23" i="42"/>
  <c r="AG22" i="42"/>
  <c r="AD22" i="42"/>
  <c r="AC22" i="42"/>
  <c r="AB22" i="42"/>
  <c r="AG21" i="42"/>
  <c r="AD21" i="42"/>
  <c r="AC21" i="42"/>
  <c r="AB21" i="42"/>
  <c r="AG20" i="42"/>
  <c r="AD20" i="42"/>
  <c r="AC20" i="42"/>
  <c r="AB20" i="42"/>
  <c r="AG19" i="42"/>
  <c r="AD19" i="42"/>
  <c r="AC19" i="42"/>
  <c r="AB19" i="42"/>
  <c r="AG18" i="42"/>
  <c r="AD18" i="42"/>
  <c r="AC18" i="42"/>
  <c r="AB18" i="42"/>
  <c r="AG17" i="42"/>
  <c r="AD17" i="42"/>
  <c r="AC17" i="42"/>
  <c r="AB17" i="42"/>
  <c r="AG16" i="42"/>
  <c r="AD16" i="42"/>
  <c r="AC16" i="42"/>
  <c r="AB16" i="42"/>
  <c r="AG15" i="42"/>
  <c r="AD15" i="42"/>
  <c r="AC15" i="42"/>
  <c r="AB15" i="42"/>
  <c r="AG14" i="42"/>
  <c r="AD14" i="42"/>
  <c r="AC14" i="42"/>
  <c r="AB14" i="42"/>
  <c r="AG13" i="42"/>
  <c r="AD13" i="42"/>
  <c r="AC13" i="42"/>
  <c r="AB13" i="42"/>
  <c r="AG12" i="42"/>
  <c r="AD12" i="42"/>
  <c r="AC12" i="42"/>
  <c r="AB12" i="42"/>
  <c r="AG11" i="42"/>
  <c r="AD11" i="42"/>
  <c r="AC11" i="42"/>
  <c r="AB11" i="42"/>
  <c r="AG10" i="42"/>
  <c r="AD10" i="42"/>
  <c r="AC10" i="42"/>
  <c r="AB10" i="42"/>
  <c r="AG9" i="42"/>
  <c r="AD9" i="42"/>
  <c r="AC9" i="42"/>
  <c r="AB9" i="42"/>
  <c r="AG8" i="42"/>
  <c r="AD8" i="42"/>
  <c r="AC8" i="42"/>
  <c r="AB8" i="42"/>
  <c r="AG7" i="42"/>
  <c r="AD7" i="42"/>
  <c r="AC7" i="42"/>
  <c r="AB7" i="42"/>
  <c r="AG6" i="42"/>
  <c r="AD6" i="42"/>
  <c r="AC6" i="42"/>
  <c r="AB6" i="42"/>
  <c r="AG5" i="42"/>
  <c r="AD5" i="42"/>
  <c r="AC5" i="42"/>
  <c r="AB5" i="42"/>
  <c r="H3" i="42"/>
  <c r="M3" i="42" s="1"/>
  <c r="R3" i="42" s="1"/>
  <c r="W3" i="42" s="1"/>
  <c r="AY47" i="27" l="1"/>
  <c r="BC47" i="27"/>
  <c r="AW47" i="27"/>
  <c r="AX47" i="27"/>
  <c r="BN51" i="27"/>
  <c r="BO51" i="27" s="1"/>
  <c r="BL51" i="27" s="1"/>
  <c r="BN50" i="27"/>
  <c r="BO50" i="27" s="1"/>
  <c r="BL50" i="27" s="1"/>
  <c r="BN52" i="27"/>
  <c r="BO52" i="27" s="1"/>
  <c r="BL52" i="27" s="1"/>
  <c r="BN29" i="27"/>
  <c r="BO29" i="27" s="1"/>
  <c r="BL29" i="27" s="1"/>
  <c r="BN18" i="27"/>
  <c r="BO18" i="27" s="1"/>
  <c r="BL18" i="27" s="1"/>
  <c r="BN13" i="27"/>
  <c r="BO13" i="27" s="1"/>
  <c r="BL13" i="27" s="1"/>
  <c r="BN9" i="27"/>
  <c r="BO9" i="27" s="1"/>
  <c r="BL9" i="27" s="1"/>
  <c r="BN6" i="27"/>
  <c r="BO6" i="27" s="1"/>
  <c r="BL6" i="27" s="1"/>
  <c r="BN40" i="27"/>
  <c r="BO40" i="27" s="1"/>
  <c r="BL40" i="27" s="1"/>
  <c r="BN47" i="27"/>
  <c r="BO47" i="27" s="1"/>
  <c r="BL47" i="27" s="1"/>
  <c r="BN43" i="27"/>
  <c r="BO43" i="27" s="1"/>
  <c r="BL43" i="27" s="1"/>
  <c r="BN28" i="27"/>
  <c r="BO28" i="27" s="1"/>
  <c r="BL28" i="27" s="1"/>
  <c r="BN5" i="27"/>
  <c r="BO5" i="27" s="1"/>
  <c r="BL5" i="27" s="1"/>
  <c r="BN35" i="27"/>
  <c r="BO35" i="27" s="1"/>
  <c r="BL35" i="27" s="1"/>
  <c r="BN21" i="27"/>
  <c r="BO21" i="27" s="1"/>
  <c r="BL21" i="27" s="1"/>
  <c r="BN31" i="27"/>
  <c r="BO31" i="27" s="1"/>
  <c r="BL31" i="27" s="1"/>
  <c r="BN16" i="27"/>
  <c r="BO16" i="27" s="1"/>
  <c r="BL16" i="27" s="1"/>
  <c r="BN38" i="27"/>
  <c r="BO38" i="27" s="1"/>
  <c r="BL38" i="27" s="1"/>
  <c r="BN23" i="27"/>
  <c r="BO23" i="27" s="1"/>
  <c r="BL23" i="27" s="1"/>
  <c r="BN32" i="27"/>
  <c r="BO32" i="27" s="1"/>
  <c r="BL32" i="27" s="1"/>
  <c r="BN19" i="27"/>
  <c r="BO19" i="27" s="1"/>
  <c r="BL19" i="27" s="1"/>
  <c r="BN26" i="27"/>
  <c r="BO26" i="27" s="1"/>
  <c r="BL26" i="27" s="1"/>
  <c r="BN11" i="27"/>
  <c r="BO11" i="27" s="1"/>
  <c r="BL11" i="27" s="1"/>
  <c r="BN7" i="27"/>
  <c r="BO7" i="27" s="1"/>
  <c r="BL7" i="27" s="1"/>
  <c r="BN14" i="27"/>
  <c r="BO14" i="27" s="1"/>
  <c r="BL14" i="27" s="1"/>
  <c r="BN48" i="27"/>
  <c r="BO48" i="27" s="1"/>
  <c r="BL48" i="27" s="1"/>
  <c r="BN44" i="27"/>
  <c r="BO44" i="27" s="1"/>
  <c r="BL44" i="27" s="1"/>
  <c r="BN41" i="27"/>
  <c r="BO41" i="27" s="1"/>
  <c r="BL41" i="27" s="1"/>
  <c r="BN36" i="27"/>
  <c r="BO36" i="27" s="1"/>
  <c r="BL36" i="27" s="1"/>
  <c r="BN39" i="27"/>
  <c r="BO39" i="27" s="1"/>
  <c r="BL39" i="27" s="1"/>
  <c r="BN12" i="27"/>
  <c r="BO12" i="27" s="1"/>
  <c r="BL12" i="27" s="1"/>
  <c r="BN8" i="27"/>
  <c r="BO8" i="27" s="1"/>
  <c r="BL8" i="27" s="1"/>
  <c r="BN15" i="27"/>
  <c r="BO15" i="27" s="1"/>
  <c r="BL15" i="27" s="1"/>
  <c r="BN49" i="27"/>
  <c r="BO49" i="27" s="1"/>
  <c r="BL49" i="27" s="1"/>
  <c r="BN46" i="27"/>
  <c r="BO46" i="27" s="1"/>
  <c r="BL46" i="27" s="1"/>
  <c r="BN24" i="27"/>
  <c r="BO24" i="27" s="1"/>
  <c r="BL24" i="27" s="1"/>
  <c r="BN20" i="27"/>
  <c r="BO20" i="27" s="1"/>
  <c r="BL20" i="27" s="1"/>
  <c r="BN45" i="27"/>
  <c r="BO45" i="27" s="1"/>
  <c r="BL45" i="27" s="1"/>
  <c r="BN42" i="27"/>
  <c r="BO42" i="27" s="1"/>
  <c r="BL42" i="27" s="1"/>
  <c r="BN37" i="27"/>
  <c r="BO37" i="27" s="1"/>
  <c r="BL37" i="27" s="1"/>
  <c r="BN34" i="27"/>
  <c r="BO34" i="27" s="1"/>
  <c r="BL34" i="27" s="1"/>
  <c r="BN17" i="27"/>
  <c r="BO17" i="27" s="1"/>
  <c r="BL17" i="27" s="1"/>
  <c r="BN27" i="27"/>
  <c r="BO27" i="27" s="1"/>
  <c r="BL27" i="27" s="1"/>
  <c r="BN33" i="27"/>
  <c r="BO33" i="27" s="1"/>
  <c r="BL33" i="27" s="1"/>
  <c r="BN30" i="27"/>
  <c r="BO30" i="27" s="1"/>
  <c r="BL30" i="27" s="1"/>
  <c r="BN25" i="27"/>
  <c r="BO25" i="27" s="1"/>
  <c r="BL25" i="27" s="1"/>
  <c r="BN22" i="27"/>
  <c r="BO22" i="27" s="1"/>
  <c r="BL22" i="27" s="1"/>
  <c r="BN10" i="27"/>
  <c r="BO10" i="27" s="1"/>
  <c r="BL10" i="27" s="1"/>
  <c r="AE32" i="42"/>
  <c r="AE39" i="42"/>
  <c r="AE25" i="42"/>
  <c r="AE13" i="42"/>
  <c r="AE17" i="42"/>
  <c r="AE9" i="42"/>
  <c r="AE10" i="42"/>
  <c r="AE18" i="42"/>
  <c r="AE22" i="42"/>
  <c r="AE44" i="42"/>
  <c r="AE26" i="42"/>
  <c r="AE30" i="42"/>
  <c r="AE37" i="42"/>
  <c r="AE5" i="42"/>
  <c r="AE14" i="42"/>
  <c r="AE40" i="42"/>
  <c r="AE43" i="42"/>
  <c r="AE7" i="42"/>
  <c r="AE11" i="42"/>
  <c r="AE31" i="42"/>
  <c r="AE8" i="42"/>
  <c r="AE15" i="42"/>
  <c r="AE6" i="42"/>
  <c r="AE19" i="42"/>
  <c r="AE20" i="42"/>
  <c r="AE41" i="42"/>
  <c r="AE12" i="42"/>
  <c r="AE16" i="42"/>
  <c r="AE27" i="42"/>
  <c r="AE29" i="42"/>
  <c r="AE33" i="42"/>
  <c r="AE35" i="42"/>
  <c r="AE21" i="42"/>
  <c r="AE23" i="42"/>
  <c r="AE24" i="42"/>
  <c r="AE28" i="42"/>
  <c r="AE34" i="42"/>
  <c r="AE38" i="42"/>
  <c r="AE42" i="42"/>
  <c r="AE45" i="42"/>
  <c r="AE36" i="42"/>
  <c r="AE46" i="42"/>
  <c r="AD11" i="20" l="1"/>
  <c r="AB6" i="20" l="1"/>
  <c r="AB7" i="20"/>
  <c r="AB8" i="20"/>
  <c r="AB9" i="20"/>
  <c r="AB10" i="20"/>
  <c r="AB11" i="20"/>
  <c r="AB12" i="20"/>
  <c r="AB13" i="20"/>
  <c r="AB14" i="20"/>
  <c r="AB15" i="20"/>
  <c r="AB16" i="20"/>
  <c r="AB17" i="20"/>
  <c r="AB18" i="20"/>
  <c r="AB19" i="20"/>
  <c r="AB20" i="20"/>
  <c r="AB21" i="20"/>
  <c r="AB22" i="20"/>
  <c r="AB23" i="20"/>
  <c r="AB24" i="20"/>
  <c r="AB25" i="20"/>
  <c r="AB26" i="20"/>
  <c r="AB27" i="20"/>
  <c r="AB28" i="20"/>
  <c r="AB29" i="20"/>
  <c r="AB30" i="20"/>
  <c r="AB31" i="20"/>
  <c r="AB32" i="20"/>
  <c r="AB33" i="20"/>
  <c r="AB34" i="20"/>
  <c r="AB35" i="20"/>
  <c r="AB36" i="20"/>
  <c r="AB37" i="20"/>
  <c r="AB38" i="20"/>
  <c r="AB39" i="20"/>
  <c r="AB40" i="20"/>
  <c r="AB41" i="20"/>
  <c r="AB42" i="20"/>
  <c r="AB43" i="20"/>
  <c r="AB44" i="20"/>
  <c r="AB45" i="20"/>
  <c r="AB46" i="20"/>
  <c r="AB5" i="20"/>
  <c r="AB6" i="19"/>
  <c r="AB7" i="19"/>
  <c r="AB8" i="19"/>
  <c r="AB9" i="19"/>
  <c r="AB10" i="19"/>
  <c r="AB11" i="19"/>
  <c r="AB12" i="19"/>
  <c r="AB13" i="19"/>
  <c r="AB14" i="19"/>
  <c r="AB15" i="19"/>
  <c r="AB16" i="19"/>
  <c r="AB17" i="19"/>
  <c r="AB18" i="19"/>
  <c r="AB19" i="19"/>
  <c r="AB20" i="19"/>
  <c r="AB21" i="19"/>
  <c r="AB22" i="19"/>
  <c r="AB23" i="19"/>
  <c r="AB24" i="19"/>
  <c r="AB25" i="19"/>
  <c r="AB26" i="19"/>
  <c r="AB27" i="19"/>
  <c r="AB28" i="19"/>
  <c r="AB29" i="19"/>
  <c r="AB30" i="19"/>
  <c r="AB31" i="19"/>
  <c r="AB32" i="19"/>
  <c r="AB33" i="19"/>
  <c r="AB34" i="19"/>
  <c r="AB35" i="19"/>
  <c r="AB36" i="19"/>
  <c r="AB37" i="19"/>
  <c r="AB38" i="19"/>
  <c r="AB39" i="19"/>
  <c r="AB40" i="19"/>
  <c r="AB41" i="19"/>
  <c r="AB42" i="19"/>
  <c r="AB43" i="19"/>
  <c r="AB44" i="19"/>
  <c r="AB45" i="19"/>
  <c r="AB46" i="19"/>
  <c r="AB5" i="19"/>
  <c r="AB6" i="18" l="1"/>
  <c r="AB7" i="18"/>
  <c r="AB8" i="18"/>
  <c r="AB9" i="18"/>
  <c r="AB10" i="18"/>
  <c r="AB11" i="18"/>
  <c r="AB12" i="18"/>
  <c r="AB13" i="18"/>
  <c r="AB14" i="18"/>
  <c r="AB15" i="18"/>
  <c r="AB16" i="18"/>
  <c r="AB17" i="18"/>
  <c r="AB18" i="18"/>
  <c r="AB19" i="18"/>
  <c r="AB20" i="18"/>
  <c r="AB21" i="18"/>
  <c r="AB22" i="18"/>
  <c r="AB23" i="18"/>
  <c r="AB24" i="18"/>
  <c r="AB25" i="18"/>
  <c r="AB26" i="18"/>
  <c r="AB27" i="18"/>
  <c r="AB28" i="18"/>
  <c r="AB29" i="18"/>
  <c r="AB30" i="18"/>
  <c r="AB31" i="18"/>
  <c r="AB32" i="18"/>
  <c r="AB33" i="18"/>
  <c r="AB34" i="18"/>
  <c r="AB35" i="18"/>
  <c r="AB36" i="18"/>
  <c r="AB37" i="18"/>
  <c r="AB38" i="18"/>
  <c r="AB39" i="18"/>
  <c r="AB40" i="18"/>
  <c r="AB41" i="18"/>
  <c r="AB42" i="18"/>
  <c r="AB43" i="18"/>
  <c r="AB44" i="18"/>
  <c r="AB45" i="18"/>
  <c r="AB46" i="18"/>
  <c r="AB5" i="18"/>
  <c r="AB37" i="17"/>
  <c r="AB6" i="17"/>
  <c r="AB7" i="17"/>
  <c r="AB8" i="17"/>
  <c r="AB9" i="17"/>
  <c r="AB10" i="17"/>
  <c r="AB11" i="17"/>
  <c r="AB12" i="17"/>
  <c r="AB13" i="17"/>
  <c r="AB14" i="17"/>
  <c r="AB15" i="17"/>
  <c r="AB16" i="17"/>
  <c r="AB17" i="17"/>
  <c r="AB18" i="17"/>
  <c r="AB19" i="17"/>
  <c r="AB20" i="17"/>
  <c r="AB21" i="17"/>
  <c r="AB22" i="17"/>
  <c r="AB23" i="17"/>
  <c r="AB24" i="17"/>
  <c r="AB25" i="17"/>
  <c r="AB26" i="17"/>
  <c r="AB27" i="17"/>
  <c r="AB28" i="17"/>
  <c r="AB29" i="17"/>
  <c r="AB30" i="17"/>
  <c r="AB31" i="17"/>
  <c r="AB32" i="17"/>
  <c r="AB33" i="17"/>
  <c r="AB34" i="17"/>
  <c r="AB35" i="17"/>
  <c r="AB36" i="17"/>
  <c r="AB38" i="17"/>
  <c r="AB39" i="17"/>
  <c r="AB40" i="17"/>
  <c r="AB41" i="17"/>
  <c r="AB42" i="17"/>
  <c r="AB43" i="17"/>
  <c r="AB44" i="17"/>
  <c r="AB45" i="17"/>
  <c r="AB46" i="17"/>
  <c r="AB5" i="17"/>
  <c r="AG6" i="20" l="1"/>
  <c r="AG7" i="20"/>
  <c r="AG8" i="20"/>
  <c r="AG9" i="20"/>
  <c r="AG10" i="20"/>
  <c r="AG11" i="20"/>
  <c r="AG12" i="20"/>
  <c r="AG13" i="20"/>
  <c r="AG14" i="20"/>
  <c r="AG15" i="20"/>
  <c r="AG16" i="20"/>
  <c r="AG17" i="20"/>
  <c r="AG18" i="20"/>
  <c r="AG19" i="20"/>
  <c r="AG20" i="20"/>
  <c r="AG21" i="20"/>
  <c r="AG22" i="20"/>
  <c r="AG23" i="20"/>
  <c r="AG24" i="20"/>
  <c r="AG25" i="20"/>
  <c r="AG26" i="20"/>
  <c r="AG27" i="20"/>
  <c r="AG28" i="20"/>
  <c r="AG29" i="20"/>
  <c r="AG30" i="20"/>
  <c r="AG31" i="20"/>
  <c r="AG32" i="20"/>
  <c r="AG33" i="20"/>
  <c r="AG34" i="20"/>
  <c r="AG35" i="20"/>
  <c r="AG36" i="20"/>
  <c r="AG37" i="20"/>
  <c r="AG38" i="20"/>
  <c r="AG39" i="20"/>
  <c r="AG40" i="20"/>
  <c r="AG41" i="20"/>
  <c r="AG42" i="20"/>
  <c r="AG43" i="20"/>
  <c r="AG44" i="20"/>
  <c r="AG45" i="20"/>
  <c r="AG46" i="20"/>
  <c r="AG5" i="20"/>
  <c r="AG6" i="19"/>
  <c r="AG7" i="19"/>
  <c r="AG8" i="19"/>
  <c r="AG9" i="19"/>
  <c r="AG10" i="19"/>
  <c r="AG11" i="19"/>
  <c r="AG12" i="19"/>
  <c r="AG13" i="19"/>
  <c r="AG14" i="19"/>
  <c r="AG15" i="19"/>
  <c r="AG16" i="19"/>
  <c r="AG17" i="19"/>
  <c r="AG18" i="19"/>
  <c r="AG19" i="19"/>
  <c r="AG20" i="19"/>
  <c r="AG21" i="19"/>
  <c r="AG22" i="19"/>
  <c r="AG23" i="19"/>
  <c r="AG24" i="19"/>
  <c r="AG25" i="19"/>
  <c r="AG26" i="19"/>
  <c r="AG27" i="19"/>
  <c r="AG28" i="19"/>
  <c r="AG29" i="19"/>
  <c r="AG30" i="19"/>
  <c r="AG31" i="19"/>
  <c r="AG32" i="19"/>
  <c r="AG33" i="19"/>
  <c r="AG34" i="19"/>
  <c r="AG35" i="19"/>
  <c r="AG36" i="19"/>
  <c r="AG37" i="19"/>
  <c r="AG38" i="19"/>
  <c r="AG39" i="19"/>
  <c r="AG40" i="19"/>
  <c r="AG41" i="19"/>
  <c r="AG42" i="19"/>
  <c r="AG43" i="19"/>
  <c r="AG44" i="19"/>
  <c r="AG45" i="19"/>
  <c r="AG46" i="19"/>
  <c r="AG5" i="19"/>
  <c r="AG6" i="18"/>
  <c r="AG7" i="18"/>
  <c r="AG8" i="18"/>
  <c r="AG9" i="18"/>
  <c r="AG10" i="18"/>
  <c r="AG11" i="18"/>
  <c r="AG12" i="18"/>
  <c r="AG13" i="18"/>
  <c r="AG14" i="18"/>
  <c r="AG15" i="18"/>
  <c r="AG16" i="18"/>
  <c r="AG17" i="18"/>
  <c r="AG18" i="18"/>
  <c r="AG19" i="18"/>
  <c r="AG20" i="18"/>
  <c r="AG21" i="18"/>
  <c r="AG22" i="18"/>
  <c r="AG23" i="18"/>
  <c r="AG24" i="18"/>
  <c r="AG25" i="18"/>
  <c r="AG26" i="18"/>
  <c r="AG27" i="18"/>
  <c r="AG28" i="18"/>
  <c r="AG29" i="18"/>
  <c r="AG30" i="18"/>
  <c r="AG31" i="18"/>
  <c r="AG32" i="18"/>
  <c r="AG33" i="18"/>
  <c r="AG34" i="18"/>
  <c r="AG35" i="18"/>
  <c r="AG36" i="18"/>
  <c r="AG37" i="18"/>
  <c r="AG38" i="18"/>
  <c r="AG39" i="18"/>
  <c r="AG40" i="18"/>
  <c r="AG41" i="18"/>
  <c r="AG42" i="18"/>
  <c r="AG43" i="18"/>
  <c r="AG44" i="18"/>
  <c r="AG45" i="18"/>
  <c r="AG46" i="18"/>
  <c r="AG6" i="17"/>
  <c r="AG7" i="17"/>
  <c r="AG8" i="17"/>
  <c r="AG9" i="17"/>
  <c r="AG10" i="17"/>
  <c r="AG11" i="17"/>
  <c r="AG12" i="17"/>
  <c r="AG13" i="17"/>
  <c r="AG14" i="17"/>
  <c r="AG15" i="17"/>
  <c r="AG16" i="17"/>
  <c r="AG17" i="17"/>
  <c r="AG18" i="17"/>
  <c r="AG19" i="17"/>
  <c r="AG20" i="17"/>
  <c r="AG21" i="17"/>
  <c r="AG22" i="17"/>
  <c r="AG23" i="17"/>
  <c r="AG24" i="17"/>
  <c r="AG25" i="17"/>
  <c r="AG26" i="17"/>
  <c r="AG27" i="17"/>
  <c r="AG28" i="17"/>
  <c r="AG29" i="17"/>
  <c r="AG30" i="17"/>
  <c r="AG31" i="17"/>
  <c r="AG32" i="17"/>
  <c r="AG33" i="17"/>
  <c r="AG34" i="17"/>
  <c r="AG35" i="17"/>
  <c r="AG36" i="17"/>
  <c r="AG37" i="17"/>
  <c r="AG38" i="17"/>
  <c r="AG39" i="17"/>
  <c r="AG40" i="17"/>
  <c r="AG41" i="17"/>
  <c r="AG42" i="17"/>
  <c r="AG43" i="17"/>
  <c r="AG44" i="17"/>
  <c r="AG45" i="17"/>
  <c r="AG46" i="17"/>
  <c r="AG5" i="17"/>
  <c r="AG6" i="16"/>
  <c r="AG7" i="16"/>
  <c r="AG8" i="16"/>
  <c r="AG9" i="16"/>
  <c r="AG10" i="16"/>
  <c r="AG11" i="16"/>
  <c r="AG12" i="16"/>
  <c r="AG13" i="16"/>
  <c r="AG14" i="16"/>
  <c r="AG15" i="16"/>
  <c r="AG16" i="16"/>
  <c r="AG17" i="16"/>
  <c r="AG18" i="16"/>
  <c r="AG19" i="16"/>
  <c r="AG20" i="16"/>
  <c r="AG21" i="16"/>
  <c r="AG22" i="16"/>
  <c r="AG23" i="16"/>
  <c r="AG24" i="16"/>
  <c r="AG25" i="16"/>
  <c r="AG26" i="16"/>
  <c r="AG27" i="16"/>
  <c r="AG28" i="16"/>
  <c r="AG29" i="16"/>
  <c r="AG30" i="16"/>
  <c r="AG31" i="16"/>
  <c r="AG32" i="16"/>
  <c r="AG33" i="16"/>
  <c r="AG34" i="16"/>
  <c r="AG35" i="16"/>
  <c r="AG36" i="16"/>
  <c r="AG37" i="16"/>
  <c r="AG38" i="16"/>
  <c r="AG39" i="16"/>
  <c r="AG40" i="16"/>
  <c r="AG41" i="16"/>
  <c r="AG42" i="16"/>
  <c r="AG43" i="16"/>
  <c r="AG44" i="16"/>
  <c r="AG45" i="16"/>
  <c r="AG46" i="16"/>
  <c r="AG5" i="16"/>
  <c r="AG5" i="3"/>
  <c r="AB6" i="16"/>
  <c r="D6" i="27" s="1"/>
  <c r="E6" i="27" s="1"/>
  <c r="AB7" i="16"/>
  <c r="D7" i="27" s="1"/>
  <c r="E7" i="27" s="1"/>
  <c r="AB8" i="16"/>
  <c r="D8" i="27" s="1"/>
  <c r="E8" i="27" s="1"/>
  <c r="AB9" i="16"/>
  <c r="D9" i="27" s="1"/>
  <c r="E9" i="27" s="1"/>
  <c r="AB10" i="16"/>
  <c r="D10" i="27" s="1"/>
  <c r="E10" i="27" s="1"/>
  <c r="AB11" i="16"/>
  <c r="D11" i="27" s="1"/>
  <c r="E11" i="27" s="1"/>
  <c r="AB12" i="16"/>
  <c r="D12" i="27" s="1"/>
  <c r="E12" i="27" s="1"/>
  <c r="AB13" i="16"/>
  <c r="D13" i="27" s="1"/>
  <c r="E13" i="27" s="1"/>
  <c r="AB14" i="16"/>
  <c r="D14" i="27" s="1"/>
  <c r="E14" i="27" s="1"/>
  <c r="AB15" i="16"/>
  <c r="D15" i="27" s="1"/>
  <c r="E15" i="27" s="1"/>
  <c r="AB16" i="16"/>
  <c r="D16" i="27" s="1"/>
  <c r="E16" i="27" s="1"/>
  <c r="AB17" i="16"/>
  <c r="D17" i="27" s="1"/>
  <c r="E17" i="27" s="1"/>
  <c r="AB18" i="16"/>
  <c r="D18" i="27" s="1"/>
  <c r="E18" i="27" s="1"/>
  <c r="AB19" i="16"/>
  <c r="D19" i="27" s="1"/>
  <c r="E19" i="27" s="1"/>
  <c r="AB20" i="16"/>
  <c r="D20" i="27" s="1"/>
  <c r="E20" i="27" s="1"/>
  <c r="AB21" i="16"/>
  <c r="D21" i="27" s="1"/>
  <c r="E21" i="27" s="1"/>
  <c r="AB22" i="16"/>
  <c r="D22" i="27" s="1"/>
  <c r="E22" i="27" s="1"/>
  <c r="AB23" i="16"/>
  <c r="D23" i="27" s="1"/>
  <c r="E23" i="27" s="1"/>
  <c r="AB24" i="16"/>
  <c r="D24" i="27" s="1"/>
  <c r="E24" i="27" s="1"/>
  <c r="AB25" i="16"/>
  <c r="D25" i="27" s="1"/>
  <c r="E25" i="27" s="1"/>
  <c r="AB26" i="16"/>
  <c r="D26" i="27" s="1"/>
  <c r="E26" i="27" s="1"/>
  <c r="AB27" i="16"/>
  <c r="D27" i="27" s="1"/>
  <c r="E27" i="27" s="1"/>
  <c r="AB28" i="16"/>
  <c r="D28" i="27" s="1"/>
  <c r="E28" i="27" s="1"/>
  <c r="AB29" i="16"/>
  <c r="AB30" i="16"/>
  <c r="D30" i="27" s="1"/>
  <c r="E30" i="27" s="1"/>
  <c r="AB31" i="16"/>
  <c r="D31" i="27" s="1"/>
  <c r="E31" i="27" s="1"/>
  <c r="AB32" i="16"/>
  <c r="AB33" i="16"/>
  <c r="D33" i="27" s="1"/>
  <c r="E33" i="27" s="1"/>
  <c r="AB34" i="16"/>
  <c r="D34" i="27" s="1"/>
  <c r="E34" i="27" s="1"/>
  <c r="AB35" i="16"/>
  <c r="D35" i="27" s="1"/>
  <c r="E35" i="27" s="1"/>
  <c r="AB36" i="16"/>
  <c r="D36" i="27" s="1"/>
  <c r="E36" i="27" s="1"/>
  <c r="AB37" i="16"/>
  <c r="D37" i="27" s="1"/>
  <c r="E37" i="27" s="1"/>
  <c r="AB38" i="16"/>
  <c r="D38" i="27" s="1"/>
  <c r="E38" i="27" s="1"/>
  <c r="AB39" i="16"/>
  <c r="D39" i="27" s="1"/>
  <c r="E39" i="27" s="1"/>
  <c r="AB40" i="16"/>
  <c r="D40" i="27" s="1"/>
  <c r="E40" i="27" s="1"/>
  <c r="AB41" i="16"/>
  <c r="D41" i="27" s="1"/>
  <c r="E41" i="27" s="1"/>
  <c r="AB42" i="16"/>
  <c r="D42" i="27" s="1"/>
  <c r="E42" i="27" s="1"/>
  <c r="AB43" i="16"/>
  <c r="D43" i="27" s="1"/>
  <c r="E43" i="27" s="1"/>
  <c r="AB44" i="16"/>
  <c r="D44" i="27" s="1"/>
  <c r="E44" i="27" s="1"/>
  <c r="AB45" i="16"/>
  <c r="D45" i="27" s="1"/>
  <c r="E45" i="27" s="1"/>
  <c r="AB46" i="16"/>
  <c r="D46" i="27" s="1"/>
  <c r="E46" i="27" s="1"/>
  <c r="AB5" i="16"/>
  <c r="D5" i="27" s="1"/>
  <c r="E5" i="27" s="1"/>
  <c r="AD46" i="20"/>
  <c r="AC46" i="20"/>
  <c r="AD45" i="20"/>
  <c r="AC45" i="20"/>
  <c r="AD44" i="20"/>
  <c r="AC44" i="20"/>
  <c r="AD43" i="20"/>
  <c r="AC43" i="20"/>
  <c r="AD42" i="20"/>
  <c r="AC42" i="20"/>
  <c r="AD41" i="20"/>
  <c r="AC41" i="20"/>
  <c r="AD40" i="20"/>
  <c r="AC40" i="20"/>
  <c r="AD39" i="20"/>
  <c r="AC39" i="20"/>
  <c r="AD38" i="20"/>
  <c r="AC38" i="20"/>
  <c r="AD37" i="20"/>
  <c r="AC37" i="20"/>
  <c r="AD36" i="20"/>
  <c r="AC36" i="20"/>
  <c r="AD35" i="20"/>
  <c r="AC35" i="20"/>
  <c r="AD34" i="20"/>
  <c r="AC34" i="20"/>
  <c r="AD33" i="20"/>
  <c r="AC33" i="20"/>
  <c r="AD32" i="20"/>
  <c r="AC32" i="20"/>
  <c r="AD31" i="20"/>
  <c r="AC31" i="20"/>
  <c r="AD30" i="20"/>
  <c r="AC30" i="20"/>
  <c r="AD29" i="20"/>
  <c r="AC29" i="20"/>
  <c r="AD28" i="20"/>
  <c r="AC28" i="20"/>
  <c r="AD27" i="20"/>
  <c r="AC27" i="20"/>
  <c r="AD26" i="20"/>
  <c r="AC26" i="20"/>
  <c r="AD25" i="20"/>
  <c r="AC25" i="20"/>
  <c r="AD24" i="20"/>
  <c r="AC24" i="20"/>
  <c r="AD23" i="20"/>
  <c r="AC23" i="20"/>
  <c r="AD22" i="20"/>
  <c r="AC22" i="20"/>
  <c r="AD21" i="20"/>
  <c r="AC21" i="20"/>
  <c r="AD20" i="20"/>
  <c r="AC20" i="20"/>
  <c r="AD19" i="20"/>
  <c r="AC19" i="20"/>
  <c r="AD18" i="20"/>
  <c r="AC18" i="20"/>
  <c r="AD17" i="20"/>
  <c r="AC17" i="20"/>
  <c r="AD16" i="20"/>
  <c r="AC16" i="20"/>
  <c r="AD15" i="20"/>
  <c r="AC15" i="20"/>
  <c r="AD14" i="20"/>
  <c r="AC14" i="20"/>
  <c r="AD13" i="20"/>
  <c r="AC13" i="20"/>
  <c r="AD12" i="20"/>
  <c r="AC12" i="20"/>
  <c r="AC11" i="20"/>
  <c r="AD10" i="20"/>
  <c r="AC10" i="20"/>
  <c r="AD9" i="20"/>
  <c r="AC9" i="20"/>
  <c r="AD8" i="20"/>
  <c r="AC8" i="20"/>
  <c r="AD7" i="20"/>
  <c r="AC7" i="20"/>
  <c r="AD6" i="20"/>
  <c r="AC6" i="20"/>
  <c r="AD5" i="20"/>
  <c r="AC5" i="20"/>
  <c r="H3" i="20"/>
  <c r="M3" i="20" s="1"/>
  <c r="R3" i="20" s="1"/>
  <c r="AD46" i="19"/>
  <c r="AC46" i="19"/>
  <c r="F46" i="27" s="1"/>
  <c r="AD45" i="19"/>
  <c r="AC45" i="19"/>
  <c r="F45" i="27" s="1"/>
  <c r="AD44" i="19"/>
  <c r="AC44" i="19"/>
  <c r="F44" i="27" s="1"/>
  <c r="AD43" i="19"/>
  <c r="AC43" i="19"/>
  <c r="F43" i="27" s="1"/>
  <c r="AD42" i="19"/>
  <c r="AC42" i="19"/>
  <c r="F42" i="27" s="1"/>
  <c r="AD41" i="19"/>
  <c r="AC41" i="19"/>
  <c r="F41" i="27" s="1"/>
  <c r="AD40" i="19"/>
  <c r="AC40" i="19"/>
  <c r="F40" i="27" s="1"/>
  <c r="AD39" i="19"/>
  <c r="AC39" i="19"/>
  <c r="F39" i="27" s="1"/>
  <c r="AD38" i="19"/>
  <c r="AC38" i="19"/>
  <c r="F38" i="27" s="1"/>
  <c r="AD37" i="19"/>
  <c r="AC37" i="19"/>
  <c r="F37" i="27" s="1"/>
  <c r="AD36" i="19"/>
  <c r="AC36" i="19"/>
  <c r="F36" i="27" s="1"/>
  <c r="AD35" i="19"/>
  <c r="AC35" i="19"/>
  <c r="F35" i="27" s="1"/>
  <c r="AD34" i="19"/>
  <c r="AC34" i="19"/>
  <c r="F34" i="27" s="1"/>
  <c r="AD33" i="19"/>
  <c r="AC33" i="19"/>
  <c r="F33" i="27" s="1"/>
  <c r="AD32" i="19"/>
  <c r="AC32" i="19"/>
  <c r="F32" i="27" s="1"/>
  <c r="AD31" i="19"/>
  <c r="AC31" i="19"/>
  <c r="F31" i="27" s="1"/>
  <c r="AD30" i="19"/>
  <c r="AC30" i="19"/>
  <c r="F30" i="27" s="1"/>
  <c r="AD29" i="19"/>
  <c r="AC29" i="19"/>
  <c r="F29" i="27" s="1"/>
  <c r="AD28" i="19"/>
  <c r="AC28" i="19"/>
  <c r="F28" i="27" s="1"/>
  <c r="AD27" i="19"/>
  <c r="AC27" i="19"/>
  <c r="F27" i="27" s="1"/>
  <c r="AD26" i="19"/>
  <c r="AC26" i="19"/>
  <c r="F26" i="27" s="1"/>
  <c r="AD25" i="19"/>
  <c r="AC25" i="19"/>
  <c r="F25" i="27" s="1"/>
  <c r="AD24" i="19"/>
  <c r="AC24" i="19"/>
  <c r="F24" i="27" s="1"/>
  <c r="AD23" i="19"/>
  <c r="AC23" i="19"/>
  <c r="F23" i="27" s="1"/>
  <c r="AD22" i="19"/>
  <c r="AC22" i="19"/>
  <c r="F22" i="27" s="1"/>
  <c r="AD21" i="19"/>
  <c r="AC21" i="19"/>
  <c r="F21" i="27" s="1"/>
  <c r="AD20" i="19"/>
  <c r="AC20" i="19"/>
  <c r="F20" i="27" s="1"/>
  <c r="AD19" i="19"/>
  <c r="AC19" i="19"/>
  <c r="F19" i="27" s="1"/>
  <c r="AD18" i="19"/>
  <c r="AC18" i="19"/>
  <c r="F18" i="27" s="1"/>
  <c r="AD17" i="19"/>
  <c r="AC17" i="19"/>
  <c r="F17" i="27" s="1"/>
  <c r="AD16" i="19"/>
  <c r="AC16" i="19"/>
  <c r="F16" i="27" s="1"/>
  <c r="AD15" i="19"/>
  <c r="AC15" i="19"/>
  <c r="F15" i="27" s="1"/>
  <c r="AD14" i="19"/>
  <c r="AC14" i="19"/>
  <c r="F14" i="27" s="1"/>
  <c r="AD13" i="19"/>
  <c r="AC13" i="19"/>
  <c r="F13" i="27" s="1"/>
  <c r="AD12" i="19"/>
  <c r="AC12" i="19"/>
  <c r="F12" i="27" s="1"/>
  <c r="AD11" i="19"/>
  <c r="AC11" i="19"/>
  <c r="F11" i="27" s="1"/>
  <c r="AD10" i="19"/>
  <c r="AC10" i="19"/>
  <c r="F10" i="27" s="1"/>
  <c r="AD9" i="19"/>
  <c r="AC9" i="19"/>
  <c r="F9" i="27" s="1"/>
  <c r="AD8" i="19"/>
  <c r="AC8" i="19"/>
  <c r="AD7" i="19"/>
  <c r="AC7" i="19"/>
  <c r="AD6" i="19"/>
  <c r="AC6" i="19"/>
  <c r="F6" i="27" s="1"/>
  <c r="AD5" i="19"/>
  <c r="AC5" i="19"/>
  <c r="H3" i="19"/>
  <c r="M3" i="19" s="1"/>
  <c r="R3" i="19" s="1"/>
  <c r="AD46" i="18"/>
  <c r="AD45" i="18"/>
  <c r="AD44" i="18"/>
  <c r="AD43" i="18"/>
  <c r="AD42" i="18"/>
  <c r="AD41" i="18"/>
  <c r="AD40" i="18"/>
  <c r="AD39" i="18"/>
  <c r="AD38" i="18"/>
  <c r="AD37" i="18"/>
  <c r="AD36" i="18"/>
  <c r="AD35" i="18"/>
  <c r="AD34" i="18"/>
  <c r="AD33" i="18"/>
  <c r="AD32" i="18"/>
  <c r="AD31" i="18"/>
  <c r="AD30" i="18"/>
  <c r="AD29" i="18"/>
  <c r="AD28" i="18"/>
  <c r="AD27" i="18"/>
  <c r="AD26" i="18"/>
  <c r="AD25" i="18"/>
  <c r="AD24" i="18"/>
  <c r="AD23" i="18"/>
  <c r="AD22" i="18"/>
  <c r="AD21" i="18"/>
  <c r="AD20" i="18"/>
  <c r="AD19" i="18"/>
  <c r="AD18" i="18"/>
  <c r="AD17" i="18"/>
  <c r="AD16" i="18"/>
  <c r="AD15" i="18"/>
  <c r="AD14" i="18"/>
  <c r="AD13" i="18"/>
  <c r="AD12" i="18"/>
  <c r="AD11" i="18"/>
  <c r="AD10" i="18"/>
  <c r="AD9" i="18"/>
  <c r="AD8" i="18"/>
  <c r="AD7" i="18"/>
  <c r="AD6" i="18"/>
  <c r="AD5" i="18"/>
  <c r="H3" i="18"/>
  <c r="M3" i="18" s="1"/>
  <c r="R3" i="18" s="1"/>
  <c r="W3" i="18" s="1"/>
  <c r="AD46" i="17"/>
  <c r="AD45" i="17"/>
  <c r="AD44" i="17"/>
  <c r="AD43" i="17"/>
  <c r="AD42" i="17"/>
  <c r="AD41" i="17"/>
  <c r="AD40" i="17"/>
  <c r="AD39" i="17"/>
  <c r="AD38" i="17"/>
  <c r="AD37" i="17"/>
  <c r="AD36" i="17"/>
  <c r="AD35" i="17"/>
  <c r="AD34" i="17"/>
  <c r="AD33" i="17"/>
  <c r="AD32" i="17"/>
  <c r="AD31" i="17"/>
  <c r="AD30" i="17"/>
  <c r="AD29" i="17"/>
  <c r="AD28" i="17"/>
  <c r="AD27" i="17"/>
  <c r="AD26" i="17"/>
  <c r="AD25" i="17"/>
  <c r="AD24" i="17"/>
  <c r="AD23" i="17"/>
  <c r="AD22" i="17"/>
  <c r="AD21" i="17"/>
  <c r="AD20" i="17"/>
  <c r="AD19" i="17"/>
  <c r="AD18" i="17"/>
  <c r="AD17" i="17"/>
  <c r="AD16" i="17"/>
  <c r="AD15" i="17"/>
  <c r="AD14" i="17"/>
  <c r="AD13" i="17"/>
  <c r="AD12" i="17"/>
  <c r="AD11" i="17"/>
  <c r="AD10" i="17"/>
  <c r="AD9" i="17"/>
  <c r="AD8" i="17"/>
  <c r="AD7" i="17"/>
  <c r="AD6" i="17"/>
  <c r="AD5" i="17"/>
  <c r="AC5" i="17"/>
  <c r="H3" i="17"/>
  <c r="M3" i="17" s="1"/>
  <c r="R3" i="17" s="1"/>
  <c r="AD46" i="16"/>
  <c r="AD45" i="16"/>
  <c r="AD44" i="16"/>
  <c r="AD43" i="16"/>
  <c r="AD42" i="16"/>
  <c r="AD41" i="16"/>
  <c r="AD40" i="16"/>
  <c r="AD39" i="16"/>
  <c r="AD38" i="16"/>
  <c r="AD37" i="16"/>
  <c r="AD36" i="16"/>
  <c r="AD35" i="16"/>
  <c r="AD34" i="16"/>
  <c r="AD33" i="16"/>
  <c r="AD32" i="16"/>
  <c r="AD31" i="16"/>
  <c r="AD30" i="16"/>
  <c r="AD29" i="16"/>
  <c r="AD28" i="16"/>
  <c r="AD27" i="16"/>
  <c r="AD26" i="16"/>
  <c r="AD25" i="16"/>
  <c r="AD24" i="16"/>
  <c r="AD23" i="16"/>
  <c r="AD22" i="16"/>
  <c r="AD21" i="16"/>
  <c r="AD20" i="16"/>
  <c r="AD19" i="16"/>
  <c r="AD18" i="16"/>
  <c r="AD17" i="16"/>
  <c r="AD16" i="16"/>
  <c r="AD15" i="16"/>
  <c r="AD14" i="16"/>
  <c r="AD13" i="16"/>
  <c r="AD12" i="16"/>
  <c r="AD11" i="16"/>
  <c r="AD10" i="16"/>
  <c r="AD9" i="16"/>
  <c r="AD8" i="16"/>
  <c r="AD7" i="16"/>
  <c r="AD6" i="16"/>
  <c r="AD5" i="16"/>
  <c r="AC5" i="16"/>
  <c r="H3" i="16"/>
  <c r="M3" i="16" s="1"/>
  <c r="R3" i="16" s="1"/>
  <c r="AD5" i="3"/>
  <c r="H3" i="3"/>
  <c r="M3" i="3" s="1"/>
  <c r="R3" i="3" s="1"/>
  <c r="F8" i="27" l="1"/>
  <c r="AY34" i="27"/>
  <c r="AW34" i="27"/>
  <c r="AZ34" i="27"/>
  <c r="BC7" i="27"/>
  <c r="AY7" i="27"/>
  <c r="AX7" i="27"/>
  <c r="AW7" i="27"/>
  <c r="AZ7" i="27"/>
  <c r="AZ42" i="27"/>
  <c r="AW42" i="27"/>
  <c r="AX42" i="27"/>
  <c r="AW40" i="27"/>
  <c r="AZ40" i="27"/>
  <c r="AX40" i="27"/>
  <c r="AX19" i="27"/>
  <c r="AZ19" i="27"/>
  <c r="AW19" i="27"/>
  <c r="G45" i="27"/>
  <c r="G11" i="27"/>
  <c r="J46" i="27"/>
  <c r="AR46" i="27" s="1"/>
  <c r="AW46" i="27" s="1"/>
  <c r="J34" i="27"/>
  <c r="AS34" i="27" s="1"/>
  <c r="AX34" i="27" s="1"/>
  <c r="J22" i="27"/>
  <c r="AU22" i="27" s="1"/>
  <c r="AZ22" i="27" s="1"/>
  <c r="J10" i="27"/>
  <c r="AR10" i="27" s="1"/>
  <c r="AW10" i="27" s="1"/>
  <c r="AX33" i="27"/>
  <c r="BC33" i="27"/>
  <c r="AY33" i="27"/>
  <c r="AZ33" i="27"/>
  <c r="AW33" i="27"/>
  <c r="AY43" i="27"/>
  <c r="BC43" i="27"/>
  <c r="AX43" i="27"/>
  <c r="AW43" i="27"/>
  <c r="AZ43" i="27"/>
  <c r="G9" i="27"/>
  <c r="AZ17" i="27"/>
  <c r="BC17" i="27"/>
  <c r="AW17" i="27"/>
  <c r="AY17" i="27"/>
  <c r="AX17" i="27"/>
  <c r="G23" i="27"/>
  <c r="G35" i="27"/>
  <c r="G24" i="27"/>
  <c r="G36" i="27"/>
  <c r="AY14" i="27"/>
  <c r="AW14" i="27"/>
  <c r="AX14" i="27"/>
  <c r="AZ14" i="27"/>
  <c r="BC14" i="27"/>
  <c r="J45" i="27"/>
  <c r="AS45" i="27" s="1"/>
  <c r="AX45" i="27" s="1"/>
  <c r="J33" i="27"/>
  <c r="AT33" i="27" s="1"/>
  <c r="J21" i="27"/>
  <c r="AS21" i="27" s="1"/>
  <c r="AX21" i="27" s="1"/>
  <c r="J9" i="27"/>
  <c r="AX46" i="27"/>
  <c r="AY46" i="27"/>
  <c r="AZ46" i="27"/>
  <c r="BC44" i="27"/>
  <c r="AY44" i="27"/>
  <c r="AZ44" i="27"/>
  <c r="AW44" i="27"/>
  <c r="AX44" i="27"/>
  <c r="G21" i="27"/>
  <c r="AZ25" i="27"/>
  <c r="AY25" i="27"/>
  <c r="AW25" i="27"/>
  <c r="AX13" i="27"/>
  <c r="AW13" i="27"/>
  <c r="AY13" i="27"/>
  <c r="J44" i="27"/>
  <c r="AS44" i="27" s="1"/>
  <c r="J8" i="27"/>
  <c r="AR8" i="27" s="1"/>
  <c r="AX8" i="27"/>
  <c r="AY8" i="27"/>
  <c r="AZ8" i="27"/>
  <c r="AW8" i="27"/>
  <c r="BC8" i="27"/>
  <c r="G33" i="27"/>
  <c r="G14" i="27"/>
  <c r="G26" i="27"/>
  <c r="G38" i="27"/>
  <c r="AY38" i="27"/>
  <c r="AX38" i="27"/>
  <c r="AZ38" i="27"/>
  <c r="AW38" i="27"/>
  <c r="BC38" i="27"/>
  <c r="AW37" i="27"/>
  <c r="AZ37" i="27"/>
  <c r="AY37" i="27"/>
  <c r="AZ41" i="27"/>
  <c r="AY41" i="27"/>
  <c r="AW41" i="27"/>
  <c r="BC18" i="27"/>
  <c r="AZ18" i="27"/>
  <c r="AW18" i="27"/>
  <c r="AY18" i="27"/>
  <c r="AX18" i="27"/>
  <c r="AZ21" i="27"/>
  <c r="AY21" i="27"/>
  <c r="AW21" i="27"/>
  <c r="AY45" i="27"/>
  <c r="AZ45" i="27"/>
  <c r="AW45" i="27"/>
  <c r="AW5" i="27"/>
  <c r="BC15" i="27"/>
  <c r="AY15" i="27"/>
  <c r="AW15" i="27"/>
  <c r="AZ15" i="27"/>
  <c r="AX15" i="27"/>
  <c r="AW12" i="27"/>
  <c r="AX12" i="27"/>
  <c r="AZ12" i="27"/>
  <c r="AW9" i="27"/>
  <c r="AZ9" i="27"/>
  <c r="AW39" i="27"/>
  <c r="AZ39" i="27"/>
  <c r="AY39" i="27"/>
  <c r="AY35" i="27"/>
  <c r="AW35" i="27"/>
  <c r="AX35" i="27"/>
  <c r="AZ27" i="27"/>
  <c r="AW27" i="27"/>
  <c r="AX27" i="27"/>
  <c r="AZ23" i="27"/>
  <c r="AW23" i="27"/>
  <c r="AX23" i="27"/>
  <c r="AY22" i="27"/>
  <c r="AX22" i="27"/>
  <c r="AW22" i="27"/>
  <c r="BC26" i="27"/>
  <c r="AZ26" i="27"/>
  <c r="AY26" i="27"/>
  <c r="AX26" i="27"/>
  <c r="AW26" i="27"/>
  <c r="BC24" i="27"/>
  <c r="AZ24" i="27"/>
  <c r="AY24" i="27"/>
  <c r="AW24" i="27"/>
  <c r="AX24" i="27"/>
  <c r="AX31" i="27"/>
  <c r="AW31" i="27"/>
  <c r="AZ31" i="27"/>
  <c r="AW20" i="27"/>
  <c r="AZ20" i="27"/>
  <c r="AY20" i="27"/>
  <c r="BC20" i="27"/>
  <c r="AX20" i="27"/>
  <c r="AY10" i="27"/>
  <c r="AX10" i="27"/>
  <c r="AZ10" i="27"/>
  <c r="AW11" i="27"/>
  <c r="AY11" i="27"/>
  <c r="AX11" i="27"/>
  <c r="AZ36" i="27"/>
  <c r="AX36" i="27"/>
  <c r="AW36" i="27"/>
  <c r="AX30" i="27"/>
  <c r="AZ30" i="27"/>
  <c r="AW30" i="27"/>
  <c r="AX28" i="27"/>
  <c r="AY28" i="27"/>
  <c r="AW28" i="27"/>
  <c r="BC28" i="27"/>
  <c r="AZ28" i="27"/>
  <c r="AZ16" i="27"/>
  <c r="AX16" i="27"/>
  <c r="AY16" i="27"/>
  <c r="AX6" i="27"/>
  <c r="AZ6" i="27"/>
  <c r="AW6" i="27"/>
  <c r="F7" i="27"/>
  <c r="G37" i="27"/>
  <c r="G25" i="27"/>
  <c r="J42" i="27"/>
  <c r="AT42" i="27" s="1"/>
  <c r="AY42" i="27" s="1"/>
  <c r="J30" i="27"/>
  <c r="AT30" i="27" s="1"/>
  <c r="AY30" i="27" s="1"/>
  <c r="J18" i="27"/>
  <c r="AU18" i="27" s="1"/>
  <c r="J6" i="27"/>
  <c r="AT6" i="27" s="1"/>
  <c r="AY6" i="27" s="1"/>
  <c r="J41" i="27"/>
  <c r="AS41" i="27" s="1"/>
  <c r="AX41" i="27" s="1"/>
  <c r="J29" i="27"/>
  <c r="AS29" i="27" s="1"/>
  <c r="J17" i="27"/>
  <c r="AR17" i="27" s="1"/>
  <c r="G13" i="27"/>
  <c r="J38" i="27"/>
  <c r="AU38" i="27" s="1"/>
  <c r="J26" i="27"/>
  <c r="AS26" i="27" s="1"/>
  <c r="J14" i="27"/>
  <c r="AS14" i="27" s="1"/>
  <c r="J36" i="27"/>
  <c r="AT36" i="27" s="1"/>
  <c r="AY36" i="27" s="1"/>
  <c r="J43" i="27"/>
  <c r="AS43" i="27" s="1"/>
  <c r="J31" i="27"/>
  <c r="AT31" i="27" s="1"/>
  <c r="AY31" i="27" s="1"/>
  <c r="J19" i="27"/>
  <c r="AT19" i="27" s="1"/>
  <c r="AY19" i="27" s="1"/>
  <c r="J7" i="27"/>
  <c r="AR7" i="27" s="1"/>
  <c r="J24" i="27"/>
  <c r="AU24" i="27" s="1"/>
  <c r="G19" i="27"/>
  <c r="G31" i="27"/>
  <c r="G43" i="27"/>
  <c r="G28" i="27"/>
  <c r="G17" i="27"/>
  <c r="G29" i="27"/>
  <c r="G41" i="27"/>
  <c r="J40" i="27"/>
  <c r="AT40" i="27" s="1"/>
  <c r="AY40" i="27" s="1"/>
  <c r="J28" i="27"/>
  <c r="AS28" i="27" s="1"/>
  <c r="J16" i="27"/>
  <c r="AR16" i="27" s="1"/>
  <c r="AW16" i="27" s="1"/>
  <c r="G40" i="27"/>
  <c r="G6" i="27"/>
  <c r="G18" i="27"/>
  <c r="G30" i="27"/>
  <c r="G42" i="27"/>
  <c r="J39" i="27"/>
  <c r="AS39" i="27" s="1"/>
  <c r="AX39" i="27" s="1"/>
  <c r="J27" i="27"/>
  <c r="AT27" i="27" s="1"/>
  <c r="AY27" i="27" s="1"/>
  <c r="J15" i="27"/>
  <c r="AT15" i="27" s="1"/>
  <c r="G27" i="27"/>
  <c r="G8" i="27"/>
  <c r="G20" i="27"/>
  <c r="G32" i="27"/>
  <c r="G44" i="27"/>
  <c r="J37" i="27"/>
  <c r="AS37" i="27" s="1"/>
  <c r="AX37" i="27" s="1"/>
  <c r="J25" i="27"/>
  <c r="AS25" i="27" s="1"/>
  <c r="AX25" i="27" s="1"/>
  <c r="J13" i="27"/>
  <c r="AU13" i="27" s="1"/>
  <c r="AZ13" i="27" s="1"/>
  <c r="G39" i="27"/>
  <c r="G7" i="27"/>
  <c r="G15" i="27"/>
  <c r="G16" i="27"/>
  <c r="G10" i="27"/>
  <c r="G22" i="27"/>
  <c r="G34" i="27"/>
  <c r="G46" i="27"/>
  <c r="J35" i="27"/>
  <c r="AU35" i="27" s="1"/>
  <c r="AZ35" i="27" s="1"/>
  <c r="J23" i="27"/>
  <c r="AT23" i="27" s="1"/>
  <c r="AY23" i="27" s="1"/>
  <c r="J11" i="27"/>
  <c r="AU11" i="27" s="1"/>
  <c r="AZ11" i="27" s="1"/>
  <c r="O9" i="27"/>
  <c r="P9" i="27" s="1"/>
  <c r="O7" i="27"/>
  <c r="P7" i="27" s="1"/>
  <c r="O6" i="27"/>
  <c r="P6" i="27" s="1"/>
  <c r="O11" i="27"/>
  <c r="P11" i="27" s="1"/>
  <c r="O8" i="27"/>
  <c r="P8" i="27" s="1"/>
  <c r="D29" i="27"/>
  <c r="E29" i="27" s="1"/>
  <c r="J5" i="27"/>
  <c r="AT5" i="27" s="1"/>
  <c r="J12" i="27"/>
  <c r="AT12" i="27" s="1"/>
  <c r="AY12" i="27" s="1"/>
  <c r="J20" i="27"/>
  <c r="AS20" i="27" s="1"/>
  <c r="J32" i="27"/>
  <c r="AU32" i="27" s="1"/>
  <c r="O27" i="27"/>
  <c r="P27" i="27" s="1"/>
  <c r="O25" i="27"/>
  <c r="P25" i="27" s="1"/>
  <c r="O13" i="27"/>
  <c r="P13" i="27" s="1"/>
  <c r="O16" i="27"/>
  <c r="P16" i="27" s="1"/>
  <c r="O28" i="27"/>
  <c r="P28" i="27" s="1"/>
  <c r="O14" i="27"/>
  <c r="P14" i="27" s="1"/>
  <c r="O15" i="27"/>
  <c r="P15" i="27" s="1"/>
  <c r="O26" i="27"/>
  <c r="P26" i="27" s="1"/>
  <c r="O12" i="27"/>
  <c r="P12" i="27" s="1"/>
  <c r="O24" i="27"/>
  <c r="P24" i="27" s="1"/>
  <c r="O19" i="27"/>
  <c r="P19" i="27" s="1"/>
  <c r="O17" i="27"/>
  <c r="P17" i="27" s="1"/>
  <c r="O22" i="27"/>
  <c r="P22" i="27" s="1"/>
  <c r="O18" i="27"/>
  <c r="P18" i="27" s="1"/>
  <c r="G12" i="27"/>
  <c r="D32" i="27"/>
  <c r="E32" i="27" s="1"/>
  <c r="F5" i="27"/>
  <c r="G5" i="27"/>
  <c r="AE11" i="20"/>
  <c r="AE5" i="20"/>
  <c r="AE7" i="20"/>
  <c r="AE19" i="16"/>
  <c r="AE18" i="16"/>
  <c r="AE21" i="17"/>
  <c r="AE23" i="17"/>
  <c r="AE25" i="17"/>
  <c r="AE27" i="17"/>
  <c r="AE29" i="17"/>
  <c r="AE31" i="17"/>
  <c r="AE33" i="17"/>
  <c r="AE35" i="17"/>
  <c r="AE37" i="17"/>
  <c r="AE39" i="17"/>
  <c r="AE41" i="17"/>
  <c r="AE43" i="17"/>
  <c r="AE20" i="19"/>
  <c r="AE22" i="19"/>
  <c r="AE24" i="19"/>
  <c r="AE26" i="19"/>
  <c r="AE13" i="19"/>
  <c r="AE15" i="19"/>
  <c r="AE17" i="19"/>
  <c r="AE19" i="19"/>
  <c r="AE6" i="19"/>
  <c r="AE8" i="19"/>
  <c r="AE10" i="19"/>
  <c r="AE5" i="19"/>
  <c r="AE7" i="19"/>
  <c r="AE9" i="19"/>
  <c r="AE11" i="19"/>
  <c r="AE12" i="19"/>
  <c r="AE14" i="19"/>
  <c r="AE16" i="19"/>
  <c r="AE18" i="19"/>
  <c r="AE21" i="19"/>
  <c r="AE23" i="19"/>
  <c r="AE25" i="19"/>
  <c r="AE27" i="19"/>
  <c r="AE29" i="19"/>
  <c r="AE31" i="19"/>
  <c r="AE33" i="19"/>
  <c r="AE35" i="19"/>
  <c r="AE37" i="19"/>
  <c r="AE39" i="19"/>
  <c r="AE41" i="19"/>
  <c r="AE43" i="19"/>
  <c r="AE28" i="19"/>
  <c r="AE30" i="19"/>
  <c r="AE32" i="19"/>
  <c r="AE34" i="19"/>
  <c r="AE36" i="19"/>
  <c r="AE38" i="19"/>
  <c r="AE40" i="19"/>
  <c r="AE42" i="19"/>
  <c r="AE44" i="19"/>
  <c r="AE45" i="19"/>
  <c r="AE46" i="19"/>
  <c r="AE6" i="18"/>
  <c r="AE8" i="18"/>
  <c r="AE10" i="18"/>
  <c r="AE12" i="18"/>
  <c r="AE20" i="18"/>
  <c r="AE22" i="18"/>
  <c r="AE24" i="18"/>
  <c r="AE26" i="18"/>
  <c r="AE28" i="18"/>
  <c r="AE30" i="18"/>
  <c r="AE32" i="18"/>
  <c r="AE34" i="18"/>
  <c r="AE36" i="18"/>
  <c r="AE38" i="18"/>
  <c r="AE40" i="18"/>
  <c r="AE7" i="18"/>
  <c r="AE9" i="18"/>
  <c r="AE11" i="18"/>
  <c r="AE13" i="18"/>
  <c r="AE15" i="18"/>
  <c r="AE17" i="18"/>
  <c r="AE19" i="18"/>
  <c r="AE5" i="18"/>
  <c r="AE14" i="18"/>
  <c r="AE16" i="18"/>
  <c r="AE18" i="18"/>
  <c r="AE21" i="18"/>
  <c r="AE23" i="18"/>
  <c r="AE25" i="18"/>
  <c r="AE27" i="18"/>
  <c r="AE29" i="18"/>
  <c r="AE31" i="18"/>
  <c r="AE33" i="18"/>
  <c r="AE35" i="18"/>
  <c r="AE37" i="18"/>
  <c r="AE39" i="18"/>
  <c r="AE41" i="18"/>
  <c r="AE43" i="18"/>
  <c r="AE42" i="18"/>
  <c r="AE44" i="18"/>
  <c r="AE45" i="18"/>
  <c r="AE46" i="18"/>
  <c r="AE7" i="17"/>
  <c r="AE8" i="17"/>
  <c r="AE10" i="17"/>
  <c r="AE12" i="17"/>
  <c r="AE14" i="17"/>
  <c r="AE16" i="17"/>
  <c r="AE18" i="17"/>
  <c r="AE5" i="17"/>
  <c r="AE6" i="17"/>
  <c r="AE9" i="17"/>
  <c r="AE11" i="17"/>
  <c r="AE13" i="17"/>
  <c r="AE15" i="17"/>
  <c r="AE17" i="17"/>
  <c r="AE19" i="17"/>
  <c r="AE20" i="17"/>
  <c r="AE22" i="17"/>
  <c r="AE24" i="17"/>
  <c r="AE26" i="17"/>
  <c r="AE28" i="17"/>
  <c r="AE30" i="17"/>
  <c r="AE32" i="17"/>
  <c r="AE34" i="17"/>
  <c r="AE36" i="17"/>
  <c r="AE38" i="17"/>
  <c r="AE40" i="17"/>
  <c r="AE42" i="17"/>
  <c r="AE44" i="17"/>
  <c r="AE45" i="17"/>
  <c r="AE46" i="17"/>
  <c r="AE7" i="16"/>
  <c r="AE9" i="16"/>
  <c r="AE11" i="16"/>
  <c r="AE13" i="16"/>
  <c r="AE15" i="16"/>
  <c r="AE6" i="16"/>
  <c r="AE8" i="16"/>
  <c r="AE10" i="16"/>
  <c r="AE12" i="16"/>
  <c r="AE14" i="16"/>
  <c r="AE16" i="16"/>
  <c r="AE20" i="16"/>
  <c r="AE22" i="16"/>
  <c r="AE24" i="16"/>
  <c r="AE26" i="16"/>
  <c r="AE28" i="16"/>
  <c r="AE30" i="16"/>
  <c r="AE32" i="16"/>
  <c r="AE34" i="16"/>
  <c r="AE36" i="16"/>
  <c r="AE38" i="16"/>
  <c r="AE40" i="16"/>
  <c r="AE42" i="16"/>
  <c r="AE44" i="16"/>
  <c r="AE45" i="16"/>
  <c r="AE46" i="16"/>
  <c r="AE5" i="16"/>
  <c r="AE17" i="16"/>
  <c r="AE21" i="16"/>
  <c r="AE23" i="16"/>
  <c r="AE25" i="16"/>
  <c r="AE27" i="16"/>
  <c r="AE29" i="16"/>
  <c r="AE31" i="16"/>
  <c r="AE33" i="16"/>
  <c r="AE35" i="16"/>
  <c r="AE37" i="16"/>
  <c r="AE39" i="16"/>
  <c r="AE41" i="16"/>
  <c r="AE43" i="16"/>
  <c r="AE5" i="3"/>
  <c r="AE32" i="20"/>
  <c r="AE34" i="20"/>
  <c r="AE38" i="20"/>
  <c r="AE40" i="20"/>
  <c r="AE42" i="20"/>
  <c r="AE44" i="20"/>
  <c r="AE46" i="20"/>
  <c r="AE8" i="20"/>
  <c r="AE17" i="20"/>
  <c r="AE28" i="20"/>
  <c r="AE6" i="20"/>
  <c r="AE9" i="20"/>
  <c r="AE12" i="20"/>
  <c r="AE14" i="20"/>
  <c r="AE16" i="20"/>
  <c r="AE18" i="20"/>
  <c r="AE21" i="20"/>
  <c r="AE23" i="20"/>
  <c r="AE25" i="20"/>
  <c r="AE10" i="20"/>
  <c r="AE13" i="20"/>
  <c r="AE15" i="20"/>
  <c r="AE19" i="20"/>
  <c r="AE20" i="20"/>
  <c r="AE22" i="20"/>
  <c r="AE24" i="20"/>
  <c r="AE26" i="20"/>
  <c r="AE30" i="20"/>
  <c r="AE36" i="20"/>
  <c r="AE45" i="20"/>
  <c r="AE27" i="20"/>
  <c r="AE29" i="20"/>
  <c r="AE31" i="20"/>
  <c r="AE33" i="20"/>
  <c r="AE35" i="20"/>
  <c r="AE37" i="20"/>
  <c r="AE39" i="20"/>
  <c r="AE41" i="20"/>
  <c r="AE43" i="20"/>
  <c r="BC10" i="27" l="1"/>
  <c r="BC22" i="27"/>
  <c r="BC42" i="27"/>
  <c r="BC46" i="27"/>
  <c r="BC21" i="27"/>
  <c r="AT9" i="27"/>
  <c r="AY9" i="27" s="1"/>
  <c r="AS9" i="27"/>
  <c r="AX9" i="27" s="1"/>
  <c r="AW29" i="27"/>
  <c r="AY29" i="27"/>
  <c r="BC29" i="27"/>
  <c r="AX29" i="27"/>
  <c r="AZ29" i="27"/>
  <c r="K12" i="27"/>
  <c r="L12" i="27" s="1"/>
  <c r="BC25" i="27"/>
  <c r="BC19" i="27"/>
  <c r="H11" i="27"/>
  <c r="BC45" i="27"/>
  <c r="BC9" i="27"/>
  <c r="BC40" i="27"/>
  <c r="BC41" i="27"/>
  <c r="BC13" i="27"/>
  <c r="BC34" i="27"/>
  <c r="BC37" i="27"/>
  <c r="AD36" i="27"/>
  <c r="BC30" i="27"/>
  <c r="X20" i="27"/>
  <c r="O10" i="27"/>
  <c r="P10" i="27" s="1"/>
  <c r="O23" i="27"/>
  <c r="P23" i="27" s="1"/>
  <c r="O20" i="27"/>
  <c r="P20" i="27" s="1"/>
  <c r="O21" i="27"/>
  <c r="P21" i="27" s="1"/>
  <c r="AW32" i="27"/>
  <c r="BC32" i="27"/>
  <c r="AZ32" i="27"/>
  <c r="AX32" i="27"/>
  <c r="AY32" i="27"/>
  <c r="BC6" i="27"/>
  <c r="BC36" i="27"/>
  <c r="BC11" i="27"/>
  <c r="BC27" i="27"/>
  <c r="BC31" i="27"/>
  <c r="BC39" i="27"/>
  <c r="X44" i="27"/>
  <c r="BC16" i="27"/>
  <c r="BC12" i="27"/>
  <c r="BC23" i="27"/>
  <c r="BC35" i="27"/>
  <c r="X14" i="27"/>
  <c r="X18" i="27"/>
  <c r="X6" i="27"/>
  <c r="X24" i="27"/>
  <c r="X12" i="27"/>
  <c r="X17" i="27"/>
  <c r="X19" i="27"/>
  <c r="X16" i="27"/>
  <c r="X11" i="27"/>
  <c r="X13" i="27"/>
  <c r="X21" i="27"/>
  <c r="X22" i="27"/>
  <c r="X8" i="27"/>
  <c r="X10" i="27"/>
  <c r="X5" i="27"/>
  <c r="X7" i="27"/>
  <c r="X23" i="27"/>
  <c r="X9" i="27"/>
  <c r="X15" i="27"/>
  <c r="AD12" i="27"/>
  <c r="AD24" i="27"/>
  <c r="AD13" i="27"/>
  <c r="AD23" i="27"/>
  <c r="AD14" i="27"/>
  <c r="AD5" i="27"/>
  <c r="AD15" i="27"/>
  <c r="AD16" i="27"/>
  <c r="AD22" i="27"/>
  <c r="AD11" i="27"/>
  <c r="AD17" i="27"/>
  <c r="AD18" i="27"/>
  <c r="AD6" i="27"/>
  <c r="AD7" i="27"/>
  <c r="AD19" i="27"/>
  <c r="AD9" i="27"/>
  <c r="AD8" i="27"/>
  <c r="AD20" i="27"/>
  <c r="AD21" i="27"/>
  <c r="AD10" i="27"/>
  <c r="AD48" i="27"/>
  <c r="AC48" i="27" s="1"/>
  <c r="AD53" i="27"/>
  <c r="AC53" i="27" s="1"/>
  <c r="AD49" i="27"/>
  <c r="AC49" i="27" s="1"/>
  <c r="AD50" i="27"/>
  <c r="AC50" i="27" s="1"/>
  <c r="AD45" i="27"/>
  <c r="AC45" i="27" s="1"/>
  <c r="AD47" i="27"/>
  <c r="AC47" i="27" s="1"/>
  <c r="AD51" i="27"/>
  <c r="AC51" i="27" s="1"/>
  <c r="AD46" i="27"/>
  <c r="AC46" i="27" s="1"/>
  <c r="AD52" i="27"/>
  <c r="AC52" i="27" s="1"/>
  <c r="AD44" i="27"/>
  <c r="AC44" i="27" s="1"/>
  <c r="O31" i="27"/>
  <c r="P31" i="27" s="1"/>
  <c r="H10" i="27"/>
  <c r="AN27" i="27"/>
  <c r="H34" i="27"/>
  <c r="H8" i="27"/>
  <c r="AN48" i="27"/>
  <c r="H21" i="27"/>
  <c r="AN44" i="27"/>
  <c r="AN45" i="27"/>
  <c r="H43" i="27"/>
  <c r="AN37" i="27"/>
  <c r="H41" i="27"/>
  <c r="H28" i="27"/>
  <c r="AN5" i="27"/>
  <c r="H39" i="27"/>
  <c r="H44" i="27"/>
  <c r="H42" i="27"/>
  <c r="H16" i="27"/>
  <c r="K28" i="27"/>
  <c r="L28" i="27" s="1"/>
  <c r="H7" i="27"/>
  <c r="H33" i="27"/>
  <c r="H31" i="27"/>
  <c r="H25" i="27"/>
  <c r="H36" i="27"/>
  <c r="AN24" i="27"/>
  <c r="H26" i="27"/>
  <c r="H19" i="27"/>
  <c r="AN43" i="27"/>
  <c r="AN6" i="27"/>
  <c r="AN35" i="27"/>
  <c r="AN22" i="27"/>
  <c r="AN34" i="27"/>
  <c r="AN18" i="27"/>
  <c r="AN10" i="27"/>
  <c r="AN42" i="27"/>
  <c r="AN49" i="27"/>
  <c r="AN20" i="27"/>
  <c r="AN9" i="27"/>
  <c r="H29" i="27"/>
  <c r="AN52" i="27"/>
  <c r="AN13" i="27"/>
  <c r="H6" i="27"/>
  <c r="H17" i="27"/>
  <c r="H30" i="27"/>
  <c r="H15" i="27"/>
  <c r="H13" i="27"/>
  <c r="H37" i="27"/>
  <c r="H46" i="27"/>
  <c r="H24" i="27"/>
  <c r="H9" i="27"/>
  <c r="H35" i="27"/>
  <c r="H45" i="27"/>
  <c r="H22" i="27"/>
  <c r="AN7" i="27"/>
  <c r="AN50" i="27"/>
  <c r="AN30" i="27"/>
  <c r="AN23" i="27"/>
  <c r="H40" i="27"/>
  <c r="H14" i="27"/>
  <c r="AN40" i="27"/>
  <c r="H27" i="27"/>
  <c r="H38" i="27"/>
  <c r="H18" i="27"/>
  <c r="AN17" i="27"/>
  <c r="AN11" i="27"/>
  <c r="O34" i="27"/>
  <c r="P34" i="27" s="1"/>
  <c r="K41" i="27"/>
  <c r="L41" i="27" s="1"/>
  <c r="K21" i="27"/>
  <c r="L21" i="27" s="1"/>
  <c r="AJ26" i="27"/>
  <c r="AI26" i="27" s="1"/>
  <c r="O30" i="27"/>
  <c r="P30" i="27" s="1"/>
  <c r="AN36" i="27"/>
  <c r="O44" i="27"/>
  <c r="P44" i="27" s="1"/>
  <c r="O29" i="27"/>
  <c r="P29" i="27" s="1"/>
  <c r="AN16" i="27"/>
  <c r="AN26" i="27"/>
  <c r="K19" i="27"/>
  <c r="L19" i="27" s="1"/>
  <c r="K24" i="27"/>
  <c r="L24" i="27" s="1"/>
  <c r="K34" i="27"/>
  <c r="L34" i="27" s="1"/>
  <c r="K38" i="27"/>
  <c r="L38" i="27" s="1"/>
  <c r="K14" i="27"/>
  <c r="L14" i="27" s="1"/>
  <c r="K50" i="27"/>
  <c r="L50" i="27" s="1"/>
  <c r="K31" i="27"/>
  <c r="L31" i="27" s="1"/>
  <c r="K44" i="27"/>
  <c r="L44" i="27" s="1"/>
  <c r="K49" i="27"/>
  <c r="L49" i="27" s="1"/>
  <c r="K26" i="27"/>
  <c r="L26" i="27" s="1"/>
  <c r="M8" i="27"/>
  <c r="N8" i="27" s="1"/>
  <c r="M6" i="27"/>
  <c r="N6" i="27" s="1"/>
  <c r="M7" i="27"/>
  <c r="N7" i="27" s="1"/>
  <c r="M11" i="27"/>
  <c r="N11" i="27" s="1"/>
  <c r="M10" i="27"/>
  <c r="N10" i="27" s="1"/>
  <c r="M9" i="27"/>
  <c r="N9" i="27" s="1"/>
  <c r="K15" i="27"/>
  <c r="L15" i="27" s="1"/>
  <c r="K13" i="27"/>
  <c r="L13" i="27" s="1"/>
  <c r="K36" i="27"/>
  <c r="L36" i="27" s="1"/>
  <c r="K6" i="27"/>
  <c r="L6" i="27" s="1"/>
  <c r="K8" i="27"/>
  <c r="L8" i="27" s="1"/>
  <c r="K9" i="27"/>
  <c r="L9" i="27" s="1"/>
  <c r="K7" i="27"/>
  <c r="L7" i="27" s="1"/>
  <c r="K11" i="27"/>
  <c r="L11" i="27" s="1"/>
  <c r="K10" i="27"/>
  <c r="L10" i="27" s="1"/>
  <c r="K30" i="27"/>
  <c r="L30" i="27" s="1"/>
  <c r="K42" i="27"/>
  <c r="L42" i="27" s="1"/>
  <c r="K40" i="27"/>
  <c r="L40" i="27" s="1"/>
  <c r="K52" i="27"/>
  <c r="L52" i="27" s="1"/>
  <c r="K35" i="27"/>
  <c r="L35" i="27" s="1"/>
  <c r="K17" i="27"/>
  <c r="L17" i="27" s="1"/>
  <c r="K23" i="27"/>
  <c r="L23" i="27" s="1"/>
  <c r="K43" i="27"/>
  <c r="L43" i="27" s="1"/>
  <c r="K16" i="27"/>
  <c r="L16" i="27" s="1"/>
  <c r="K45" i="27"/>
  <c r="L45" i="27" s="1"/>
  <c r="K37" i="27"/>
  <c r="L37" i="27" s="1"/>
  <c r="K27" i="27"/>
  <c r="L27" i="27" s="1"/>
  <c r="K25" i="27"/>
  <c r="L25" i="27" s="1"/>
  <c r="K47" i="27"/>
  <c r="L47" i="27" s="1"/>
  <c r="K29" i="27"/>
  <c r="L29" i="27" s="1"/>
  <c r="K33" i="27"/>
  <c r="L33" i="27" s="1"/>
  <c r="K39" i="27"/>
  <c r="L39" i="27" s="1"/>
  <c r="K22" i="27"/>
  <c r="L22" i="27" s="1"/>
  <c r="K51" i="27"/>
  <c r="L51" i="27" s="1"/>
  <c r="O38" i="27"/>
  <c r="P38" i="27" s="1"/>
  <c r="K32" i="27"/>
  <c r="L32" i="27" s="1"/>
  <c r="K18" i="27"/>
  <c r="L18" i="27" s="1"/>
  <c r="K48" i="27"/>
  <c r="L48" i="27" s="1"/>
  <c r="K46" i="27"/>
  <c r="L46" i="27" s="1"/>
  <c r="K20" i="27"/>
  <c r="L20" i="27" s="1"/>
  <c r="H12" i="27"/>
  <c r="O43" i="27"/>
  <c r="P43" i="27" s="1"/>
  <c r="O37" i="27"/>
  <c r="P37" i="27" s="1"/>
  <c r="M12" i="27"/>
  <c r="N12" i="27" s="1"/>
  <c r="M28" i="27"/>
  <c r="N28" i="27" s="1"/>
  <c r="M52" i="27"/>
  <c r="N52" i="27" s="1"/>
  <c r="M16" i="27"/>
  <c r="N16" i="27" s="1"/>
  <c r="M40" i="27"/>
  <c r="N40" i="27" s="1"/>
  <c r="M48" i="27"/>
  <c r="N48" i="27" s="1"/>
  <c r="M17" i="27"/>
  <c r="N17" i="27" s="1"/>
  <c r="M34" i="27"/>
  <c r="N34" i="27" s="1"/>
  <c r="M33" i="27"/>
  <c r="N33" i="27" s="1"/>
  <c r="M31" i="27"/>
  <c r="N31" i="27" s="1"/>
  <c r="M19" i="27"/>
  <c r="N19" i="27" s="1"/>
  <c r="M51" i="27"/>
  <c r="N51" i="27" s="1"/>
  <c r="M35" i="27"/>
  <c r="N35" i="27" s="1"/>
  <c r="M21" i="27"/>
  <c r="N21" i="27" s="1"/>
  <c r="M42" i="27"/>
  <c r="N42" i="27" s="1"/>
  <c r="M18" i="27"/>
  <c r="N18" i="27" s="1"/>
  <c r="M37" i="27"/>
  <c r="N37" i="27" s="1"/>
  <c r="M50" i="27"/>
  <c r="N50" i="27" s="1"/>
  <c r="M46" i="27"/>
  <c r="N46" i="27" s="1"/>
  <c r="M14" i="27"/>
  <c r="N14" i="27" s="1"/>
  <c r="M44" i="27"/>
  <c r="N44" i="27" s="1"/>
  <c r="M15" i="27"/>
  <c r="N15" i="27" s="1"/>
  <c r="M38" i="27"/>
  <c r="N38" i="27" s="1"/>
  <c r="M36" i="27"/>
  <c r="N36" i="27" s="1"/>
  <c r="M47" i="27"/>
  <c r="N47" i="27" s="1"/>
  <c r="M25" i="27"/>
  <c r="N25" i="27" s="1"/>
  <c r="M39" i="27"/>
  <c r="N39" i="27" s="1"/>
  <c r="M26" i="27"/>
  <c r="N26" i="27" s="1"/>
  <c r="M30" i="27"/>
  <c r="N30" i="27" s="1"/>
  <c r="M29" i="27"/>
  <c r="N29" i="27" s="1"/>
  <c r="M13" i="27"/>
  <c r="N13" i="27" s="1"/>
  <c r="M49" i="27"/>
  <c r="N49" i="27" s="1"/>
  <c r="M24" i="27"/>
  <c r="N24" i="27" s="1"/>
  <c r="M45" i="27"/>
  <c r="N45" i="27" s="1"/>
  <c r="M43" i="27"/>
  <c r="N43" i="27" s="1"/>
  <c r="M27" i="27"/>
  <c r="N27" i="27" s="1"/>
  <c r="M41" i="27"/>
  <c r="N41" i="27" s="1"/>
  <c r="M22" i="27"/>
  <c r="N22" i="27" s="1"/>
  <c r="O39" i="27"/>
  <c r="P39" i="27" s="1"/>
  <c r="H23" i="27"/>
  <c r="O40" i="27"/>
  <c r="P40" i="27" s="1"/>
  <c r="H32" i="27"/>
  <c r="O32" i="27"/>
  <c r="P32" i="27" s="1"/>
  <c r="O42" i="27"/>
  <c r="P42" i="27" s="1"/>
  <c r="O35" i="27"/>
  <c r="P35" i="27" s="1"/>
  <c r="AN41" i="27"/>
  <c r="AN29" i="27"/>
  <c r="O41" i="27"/>
  <c r="P41" i="27" s="1"/>
  <c r="O36" i="27"/>
  <c r="P36" i="27" s="1"/>
  <c r="AN31" i="27"/>
  <c r="AN38" i="27"/>
  <c r="O48" i="27"/>
  <c r="P48" i="27" s="1"/>
  <c r="O47" i="27"/>
  <c r="P47" i="27" s="1"/>
  <c r="O33" i="27"/>
  <c r="P33" i="27" s="1"/>
  <c r="AN28" i="27"/>
  <c r="AN33" i="27"/>
  <c r="AN25" i="27"/>
  <c r="O51" i="27"/>
  <c r="P51" i="27" s="1"/>
  <c r="M32" i="27"/>
  <c r="N32" i="27" s="1"/>
  <c r="O50" i="27"/>
  <c r="P50" i="27" s="1"/>
  <c r="M23" i="27"/>
  <c r="N23" i="27" s="1"/>
  <c r="H20" i="27"/>
  <c r="AN46" i="27"/>
  <c r="O52" i="27"/>
  <c r="P52" i="27" s="1"/>
  <c r="O46" i="27"/>
  <c r="P46" i="27" s="1"/>
  <c r="AN12" i="27"/>
  <c r="AN19" i="27"/>
  <c r="AN32" i="27"/>
  <c r="AN51" i="27"/>
  <c r="O45" i="27"/>
  <c r="P45" i="27" s="1"/>
  <c r="O49" i="27"/>
  <c r="P49" i="27" s="1"/>
  <c r="M20" i="27"/>
  <c r="N20" i="27" s="1"/>
  <c r="AN47" i="27"/>
  <c r="AN39" i="27"/>
  <c r="AN21" i="27"/>
  <c r="AN14" i="27"/>
  <c r="AN15" i="27"/>
  <c r="AN8" i="27"/>
  <c r="AJ32" i="27"/>
  <c r="AI32" i="27" s="1"/>
  <c r="AJ51" i="27"/>
  <c r="AI51" i="27" s="1"/>
  <c r="AJ7" i="27"/>
  <c r="AI7" i="27" s="1"/>
  <c r="AJ14" i="27"/>
  <c r="AI14" i="27" s="1"/>
  <c r="AJ39" i="27"/>
  <c r="AI39" i="27" s="1"/>
  <c r="AJ23" i="27"/>
  <c r="AI23" i="27" s="1"/>
  <c r="AJ33" i="27"/>
  <c r="AI33" i="27" s="1"/>
  <c r="AJ50" i="27"/>
  <c r="AI50" i="27" s="1"/>
  <c r="AJ10" i="27"/>
  <c r="AI10" i="27" s="1"/>
  <c r="AJ17" i="27"/>
  <c r="AI17" i="27" s="1"/>
  <c r="AJ9" i="27"/>
  <c r="AI9" i="27" s="1"/>
  <c r="AJ40" i="27"/>
  <c r="AI40" i="27" s="1"/>
  <c r="AJ6" i="27"/>
  <c r="AI6" i="27" s="1"/>
  <c r="AJ46" i="27"/>
  <c r="AI46" i="27" s="1"/>
  <c r="AJ45" i="27"/>
  <c r="AI45" i="27" s="1"/>
  <c r="AJ43" i="27"/>
  <c r="AI43" i="27" s="1"/>
  <c r="AJ27" i="27"/>
  <c r="AI27" i="27" s="1"/>
  <c r="AJ28" i="27"/>
  <c r="AI28" i="27" s="1"/>
  <c r="AJ29" i="27"/>
  <c r="AI29" i="27" s="1"/>
  <c r="AJ25" i="27"/>
  <c r="AI25" i="27" s="1"/>
  <c r="AJ35" i="27"/>
  <c r="AI35" i="27" s="1"/>
  <c r="AJ34" i="27"/>
  <c r="AI34" i="27" s="1"/>
  <c r="AJ15" i="27"/>
  <c r="AI15" i="27" s="1"/>
  <c r="AJ30" i="27"/>
  <c r="AI30" i="27" s="1"/>
  <c r="AJ20" i="27"/>
  <c r="AI20" i="27" s="1"/>
  <c r="AJ31" i="27"/>
  <c r="AI31" i="27" s="1"/>
  <c r="AJ24" i="27"/>
  <c r="AI24" i="27" s="1"/>
  <c r="AJ41" i="27"/>
  <c r="AI41" i="27" s="1"/>
  <c r="AJ52" i="27"/>
  <c r="AI52" i="27" s="1"/>
  <c r="AJ16" i="27"/>
  <c r="AI16" i="27" s="1"/>
  <c r="AJ21" i="27"/>
  <c r="AI21" i="27" s="1"/>
  <c r="AJ38" i="27"/>
  <c r="AI38" i="27" s="1"/>
  <c r="AJ49" i="27"/>
  <c r="AI49" i="27" s="1"/>
  <c r="AJ13" i="27"/>
  <c r="AI13" i="27" s="1"/>
  <c r="AJ18" i="27"/>
  <c r="AI18" i="27" s="1"/>
  <c r="AJ47" i="27"/>
  <c r="AI47" i="27" s="1"/>
  <c r="AJ11" i="27"/>
  <c r="AI11" i="27" s="1"/>
  <c r="AJ22" i="27"/>
  <c r="AI22" i="27" s="1"/>
  <c r="AJ42" i="27"/>
  <c r="AI42" i="27" s="1"/>
  <c r="AJ44" i="27"/>
  <c r="AI44" i="27" s="1"/>
  <c r="AJ8" i="27"/>
  <c r="AI8" i="27" s="1"/>
  <c r="AJ19" i="27"/>
  <c r="AI19" i="27" s="1"/>
  <c r="AJ36" i="27"/>
  <c r="AI36" i="27" s="1"/>
  <c r="AJ48" i="27"/>
  <c r="AI48" i="27" s="1"/>
  <c r="AJ37" i="27"/>
  <c r="AI37" i="27" s="1"/>
  <c r="AJ5" i="27"/>
  <c r="AI5" i="27" s="1"/>
  <c r="AJ12" i="27"/>
  <c r="AI12" i="27" s="1"/>
  <c r="H5" i="27"/>
  <c r="M5" i="27"/>
  <c r="N5" i="27" s="1"/>
  <c r="K5" i="27"/>
  <c r="L5" i="27" s="1"/>
  <c r="AX5" i="27"/>
  <c r="AD38" i="27" l="1"/>
  <c r="AD37" i="27"/>
  <c r="AD33" i="27"/>
  <c r="AD35" i="27"/>
  <c r="AD32" i="27"/>
  <c r="AD30" i="27"/>
  <c r="AD31" i="27"/>
  <c r="AC31" i="27" s="1"/>
  <c r="AD39" i="27"/>
  <c r="AC39" i="27" s="1"/>
  <c r="AD34" i="27"/>
  <c r="AC34" i="27" s="1"/>
  <c r="X60" i="27"/>
  <c r="W60" i="27" s="1"/>
  <c r="X32" i="27"/>
  <c r="W32" i="27" s="1"/>
  <c r="X31" i="27"/>
  <c r="W31" i="27" s="1"/>
  <c r="X30" i="27"/>
  <c r="W30" i="27" s="1"/>
  <c r="X35" i="27"/>
  <c r="W35" i="27" s="1"/>
  <c r="X34" i="27"/>
  <c r="W34" i="27" s="1"/>
  <c r="X33" i="27"/>
  <c r="W33" i="27" s="1"/>
  <c r="X48" i="27"/>
  <c r="W48" i="27" s="1"/>
  <c r="W44" i="27"/>
  <c r="AC32" i="27"/>
  <c r="AC35" i="27"/>
  <c r="AC38" i="27"/>
  <c r="X47" i="27"/>
  <c r="W47" i="27" s="1"/>
  <c r="X46" i="27"/>
  <c r="W46" i="27" s="1"/>
  <c r="X53" i="27"/>
  <c r="W53" i="27" s="1"/>
  <c r="X52" i="27"/>
  <c r="W52" i="27" s="1"/>
  <c r="X51" i="27"/>
  <c r="W51" i="27" s="1"/>
  <c r="AC37" i="27"/>
  <c r="X50" i="27"/>
  <c r="W50" i="27" s="1"/>
  <c r="X45" i="27"/>
  <c r="W45" i="27" s="1"/>
  <c r="X49" i="27"/>
  <c r="W49" i="27" s="1"/>
  <c r="AC36" i="27"/>
  <c r="AC33" i="27"/>
  <c r="AD65" i="27"/>
  <c r="AC65" i="27" s="1"/>
  <c r="AD66" i="27"/>
  <c r="AC66" i="27" s="1"/>
  <c r="AD67" i="27"/>
  <c r="AC67" i="27" s="1"/>
  <c r="AD68" i="27"/>
  <c r="AC68" i="27" s="1"/>
  <c r="AD60" i="27"/>
  <c r="AC60" i="27" s="1"/>
  <c r="AD69" i="27"/>
  <c r="AC69" i="27" s="1"/>
  <c r="AD61" i="27"/>
  <c r="AC61" i="27" s="1"/>
  <c r="AD62" i="27"/>
  <c r="AC62" i="27" s="1"/>
  <c r="AD63" i="27"/>
  <c r="AC63" i="27" s="1"/>
  <c r="AD64" i="27"/>
  <c r="AC64" i="27" s="1"/>
  <c r="Q7" i="27"/>
  <c r="R7" i="27" s="1"/>
  <c r="Q10" i="27"/>
  <c r="R10" i="27" s="1"/>
  <c r="Q8" i="27"/>
  <c r="R8" i="27" s="1"/>
  <c r="Q11" i="27"/>
  <c r="R11" i="27" s="1"/>
  <c r="Q9" i="27"/>
  <c r="R9" i="27" s="1"/>
  <c r="Q6" i="27"/>
  <c r="R6" i="27" s="1"/>
  <c r="AO51" i="27"/>
  <c r="AP51" i="27" s="1"/>
  <c r="Q20" i="27"/>
  <c r="R20" i="27" s="1"/>
  <c r="Q32" i="27"/>
  <c r="R32" i="27" s="1"/>
  <c r="Q23" i="27"/>
  <c r="R23" i="27" s="1"/>
  <c r="AO52" i="27"/>
  <c r="AP52" i="27" s="1"/>
  <c r="AO50" i="27"/>
  <c r="AP50" i="27" s="1"/>
  <c r="Q25" i="27"/>
  <c r="R25" i="27" s="1"/>
  <c r="Q44" i="27"/>
  <c r="R44" i="27" s="1"/>
  <c r="Q45" i="27"/>
  <c r="R45" i="27" s="1"/>
  <c r="Q34" i="27"/>
  <c r="R34" i="27" s="1"/>
  <c r="Q22" i="27"/>
  <c r="R22" i="27" s="1"/>
  <c r="Q12" i="27"/>
  <c r="R12" i="27" s="1"/>
  <c r="Q28" i="27"/>
  <c r="R28" i="27" s="1"/>
  <c r="Q49" i="27"/>
  <c r="R49" i="27" s="1"/>
  <c r="Q15" i="27"/>
  <c r="R15" i="27" s="1"/>
  <c r="Q31" i="27"/>
  <c r="R31" i="27" s="1"/>
  <c r="Q29" i="27"/>
  <c r="R29" i="27" s="1"/>
  <c r="Q47" i="27"/>
  <c r="R47" i="27" s="1"/>
  <c r="Q38" i="27"/>
  <c r="R38" i="27" s="1"/>
  <c r="Q17" i="27"/>
  <c r="R17" i="27" s="1"/>
  <c r="Q27" i="27"/>
  <c r="R27" i="27" s="1"/>
  <c r="Q42" i="27"/>
  <c r="R42" i="27" s="1"/>
  <c r="Q36" i="27"/>
  <c r="R36" i="27" s="1"/>
  <c r="Q19" i="27"/>
  <c r="R19" i="27" s="1"/>
  <c r="Q18" i="27"/>
  <c r="R18" i="27" s="1"/>
  <c r="Q16" i="27"/>
  <c r="R16" i="27" s="1"/>
  <c r="Q30" i="27"/>
  <c r="R30" i="27" s="1"/>
  <c r="Q46" i="27"/>
  <c r="R46" i="27" s="1"/>
  <c r="Q33" i="27"/>
  <c r="R33" i="27" s="1"/>
  <c r="Q21" i="27"/>
  <c r="R21" i="27" s="1"/>
  <c r="Q43" i="27"/>
  <c r="R43" i="27" s="1"/>
  <c r="Q39" i="27"/>
  <c r="R39" i="27" s="1"/>
  <c r="Q14" i="27"/>
  <c r="R14" i="27" s="1"/>
  <c r="Q52" i="27"/>
  <c r="R52" i="27" s="1"/>
  <c r="Q13" i="27"/>
  <c r="R13" i="27" s="1"/>
  <c r="Q35" i="27"/>
  <c r="R35" i="27" s="1"/>
  <c r="Q40" i="27"/>
  <c r="R40" i="27" s="1"/>
  <c r="Q51" i="27"/>
  <c r="R51" i="27" s="1"/>
  <c r="Q50" i="27"/>
  <c r="R50" i="27" s="1"/>
  <c r="Q26" i="27"/>
  <c r="R26" i="27" s="1"/>
  <c r="Q41" i="27"/>
  <c r="R41" i="27" s="1"/>
  <c r="Q37" i="27"/>
  <c r="R37" i="27" s="1"/>
  <c r="Q24" i="27"/>
  <c r="R24" i="27" s="1"/>
  <c r="Q48" i="27"/>
  <c r="R48" i="27" s="1"/>
  <c r="BG32" i="27"/>
  <c r="BG23" i="27"/>
  <c r="BG14" i="27"/>
  <c r="BG5" i="27"/>
  <c r="BG11" i="27"/>
  <c r="BG44" i="27"/>
  <c r="BG35" i="27"/>
  <c r="BG26" i="27"/>
  <c r="BG17" i="27"/>
  <c r="BG29" i="27"/>
  <c r="BG9" i="27"/>
  <c r="BG47" i="27"/>
  <c r="BG38" i="27"/>
  <c r="BG6" i="27"/>
  <c r="BG40" i="27"/>
  <c r="BG52" i="27"/>
  <c r="BG21" i="27"/>
  <c r="BG41" i="27"/>
  <c r="BG50" i="27"/>
  <c r="BG18" i="27"/>
  <c r="BG28" i="27"/>
  <c r="BG8" i="27"/>
  <c r="BG37" i="27"/>
  <c r="BG33" i="27"/>
  <c r="BG12" i="27"/>
  <c r="BG15" i="27"/>
  <c r="BG30" i="27"/>
  <c r="BG7" i="27"/>
  <c r="BG45" i="27"/>
  <c r="BG24" i="27"/>
  <c r="BG27" i="27"/>
  <c r="BG42" i="27"/>
  <c r="BG49" i="27"/>
  <c r="BG19" i="27"/>
  <c r="BG10" i="27"/>
  <c r="BG36" i="27"/>
  <c r="BG39" i="27"/>
  <c r="BG31" i="27"/>
  <c r="BG22" i="27"/>
  <c r="BG48" i="27"/>
  <c r="BG51" i="27"/>
  <c r="BG46" i="27"/>
  <c r="BG43" i="27"/>
  <c r="BG34" i="27"/>
  <c r="BG13" i="27"/>
  <c r="BG16" i="27"/>
  <c r="BG25" i="27"/>
  <c r="BG20" i="27"/>
  <c r="AC30" i="27"/>
  <c r="W38" i="27"/>
  <c r="W39" i="27"/>
  <c r="W36" i="27"/>
  <c r="W37" i="27"/>
  <c r="AZ5" i="27"/>
  <c r="AD74" i="27" s="1"/>
  <c r="AC74" i="27" s="1"/>
  <c r="Q5" i="27"/>
  <c r="R5" i="27" s="1"/>
  <c r="Y14" i="27"/>
  <c r="Z14" i="27" s="1"/>
  <c r="W14" i="27" s="1"/>
  <c r="Y13" i="27"/>
  <c r="Z13" i="27" s="1"/>
  <c r="W13" i="27" s="1"/>
  <c r="Y23" i="27"/>
  <c r="Z23" i="27" s="1"/>
  <c r="W23" i="27" s="1"/>
  <c r="AE19" i="27"/>
  <c r="AF19" i="27" s="1"/>
  <c r="AC19" i="27" s="1"/>
  <c r="AE23" i="27"/>
  <c r="AF23" i="27" s="1"/>
  <c r="AC23" i="27" s="1"/>
  <c r="Y16" i="27"/>
  <c r="Z16" i="27" s="1"/>
  <c r="W16" i="27" s="1"/>
  <c r="AE21" i="27"/>
  <c r="AF21" i="27" s="1"/>
  <c r="AC21" i="27" s="1"/>
  <c r="Y24" i="27"/>
  <c r="Z24" i="27" s="1"/>
  <c r="W24" i="27" s="1"/>
  <c r="Y18" i="27"/>
  <c r="Z18" i="27" s="1"/>
  <c r="W18" i="27" s="1"/>
  <c r="AE12" i="27"/>
  <c r="AF12" i="27" s="1"/>
  <c r="AC12" i="27" s="1"/>
  <c r="Y21" i="27"/>
  <c r="Z21" i="27" s="1"/>
  <c r="W21" i="27" s="1"/>
  <c r="AE22" i="27"/>
  <c r="AF22" i="27" s="1"/>
  <c r="AC22" i="27" s="1"/>
  <c r="Y17" i="27"/>
  <c r="Z17" i="27" s="1"/>
  <c r="W17" i="27" s="1"/>
  <c r="AE13" i="27"/>
  <c r="AF13" i="27" s="1"/>
  <c r="AC13" i="27" s="1"/>
  <c r="Y22" i="27"/>
  <c r="Z22" i="27" s="1"/>
  <c r="W22" i="27" s="1"/>
  <c r="Y19" i="27"/>
  <c r="Z19" i="27" s="1"/>
  <c r="W19" i="27" s="1"/>
  <c r="Y20" i="27"/>
  <c r="Z20" i="27" s="1"/>
  <c r="W20" i="27" s="1"/>
  <c r="AE17" i="27"/>
  <c r="AF17" i="27" s="1"/>
  <c r="AC17" i="27" s="1"/>
  <c r="Y15" i="27"/>
  <c r="Z15" i="27" s="1"/>
  <c r="W15" i="27" s="1"/>
  <c r="AE20" i="27"/>
  <c r="AF20" i="27" s="1"/>
  <c r="AC20" i="27" s="1"/>
  <c r="AE14" i="27"/>
  <c r="AF14" i="27" s="1"/>
  <c r="AC14" i="27" s="1"/>
  <c r="AE24" i="27"/>
  <c r="AF24" i="27" s="1"/>
  <c r="AC24" i="27" s="1"/>
  <c r="AE15" i="27"/>
  <c r="AF15" i="27" s="1"/>
  <c r="AC15" i="27" s="1"/>
  <c r="Y12" i="27"/>
  <c r="Z12" i="27" s="1"/>
  <c r="W12" i="27" s="1"/>
  <c r="AE16" i="27"/>
  <c r="AF16" i="27" s="1"/>
  <c r="AC16" i="27" s="1"/>
  <c r="AE18" i="27"/>
  <c r="AF18" i="27" s="1"/>
  <c r="AC18" i="27" s="1"/>
  <c r="BC5" i="27"/>
  <c r="AJ60" i="27" s="1"/>
  <c r="AI60" i="27" s="1"/>
  <c r="AY5" i="27"/>
  <c r="O5" i="27"/>
  <c r="P5" i="27" s="1"/>
  <c r="AE6" i="27"/>
  <c r="AF6" i="27" s="1"/>
  <c r="AC6" i="27" s="1"/>
  <c r="AE8" i="27"/>
  <c r="AF8" i="27" s="1"/>
  <c r="AC8" i="27" s="1"/>
  <c r="Y8" i="27"/>
  <c r="Z8" i="27" s="1"/>
  <c r="W8" i="27" s="1"/>
  <c r="Y6" i="27"/>
  <c r="Z6" i="27" s="1"/>
  <c r="W6" i="27" s="1"/>
  <c r="Y5" i="27"/>
  <c r="Z5" i="27" s="1"/>
  <c r="W5" i="27" s="1"/>
  <c r="AE11" i="27"/>
  <c r="AF11" i="27" s="1"/>
  <c r="AC11" i="27" s="1"/>
  <c r="AE7" i="27"/>
  <c r="AF7" i="27" s="1"/>
  <c r="AC7" i="27" s="1"/>
  <c r="AE9" i="27"/>
  <c r="AF9" i="27" s="1"/>
  <c r="AC9" i="27" s="1"/>
  <c r="Y11" i="27"/>
  <c r="Z11" i="27" s="1"/>
  <c r="W11" i="27" s="1"/>
  <c r="AE5" i="27"/>
  <c r="AF5" i="27" s="1"/>
  <c r="AC5" i="27" s="1"/>
  <c r="Y7" i="27"/>
  <c r="Z7" i="27" s="1"/>
  <c r="W7" i="27" s="1"/>
  <c r="AE10" i="27"/>
  <c r="AF10" i="27" s="1"/>
  <c r="AC10" i="27" s="1"/>
  <c r="Y9" i="27"/>
  <c r="Z9" i="27" s="1"/>
  <c r="W9" i="27" s="1"/>
  <c r="Y10" i="27"/>
  <c r="Z10" i="27" s="1"/>
  <c r="W10" i="27" s="1"/>
  <c r="X77" i="27" l="1"/>
  <c r="W77" i="27" s="1"/>
  <c r="X78" i="27"/>
  <c r="W78" i="27" s="1"/>
  <c r="X79" i="27"/>
  <c r="W79" i="27" s="1"/>
  <c r="X74" i="27"/>
  <c r="W74" i="27" s="1"/>
  <c r="X80" i="27"/>
  <c r="W80" i="27" s="1"/>
  <c r="X81" i="27"/>
  <c r="W81" i="27" s="1"/>
  <c r="X82" i="27"/>
  <c r="W82" i="27" s="1"/>
  <c r="X83" i="27"/>
  <c r="W83" i="27" s="1"/>
  <c r="X75" i="27"/>
  <c r="W75" i="27" s="1"/>
  <c r="X76" i="27"/>
  <c r="W76" i="27" s="1"/>
  <c r="BH51" i="27"/>
  <c r="BI51" i="27" s="1"/>
  <c r="BF51" i="27" s="1"/>
  <c r="BH50" i="27"/>
  <c r="BI50" i="27" s="1"/>
  <c r="BF50" i="27" s="1"/>
  <c r="BH52" i="27"/>
  <c r="BI52" i="27" s="1"/>
  <c r="BF52" i="27" s="1"/>
  <c r="AM50" i="27"/>
  <c r="AM52" i="27"/>
  <c r="AM51" i="27"/>
  <c r="AO49" i="27"/>
  <c r="AP49" i="27" s="1"/>
  <c r="AM49" i="27" s="1"/>
  <c r="BH49" i="27"/>
  <c r="BI49" i="27" s="1"/>
  <c r="BF49" i="27" s="1"/>
  <c r="BH13" i="27"/>
  <c r="BI13" i="27" s="1"/>
  <c r="BF13" i="27" s="1"/>
  <c r="BH6" i="27"/>
  <c r="BI6" i="27" s="1"/>
  <c r="BF6" i="27" s="1"/>
  <c r="BH17" i="27"/>
  <c r="BI17" i="27" s="1"/>
  <c r="BF17" i="27" s="1"/>
  <c r="BH19" i="27"/>
  <c r="BI19" i="27" s="1"/>
  <c r="BF19" i="27" s="1"/>
  <c r="BH8" i="27"/>
  <c r="BI8" i="27" s="1"/>
  <c r="BF8" i="27" s="1"/>
  <c r="BH27" i="27"/>
  <c r="BI27" i="27" s="1"/>
  <c r="BF27" i="27" s="1"/>
  <c r="BH23" i="27"/>
  <c r="BI23" i="27" s="1"/>
  <c r="BF23" i="27" s="1"/>
  <c r="BH18" i="27"/>
  <c r="BI18" i="27" s="1"/>
  <c r="BF18" i="27" s="1"/>
  <c r="BH41" i="27"/>
  <c r="BI41" i="27" s="1"/>
  <c r="BF41" i="27" s="1"/>
  <c r="BH47" i="27"/>
  <c r="BI47" i="27" s="1"/>
  <c r="BF47" i="27" s="1"/>
  <c r="BH44" i="27"/>
  <c r="BI44" i="27" s="1"/>
  <c r="BF44" i="27" s="1"/>
  <c r="BH40" i="27"/>
  <c r="BI40" i="27" s="1"/>
  <c r="BF40" i="27" s="1"/>
  <c r="BH45" i="27"/>
  <c r="BI45" i="27" s="1"/>
  <c r="BF45" i="27" s="1"/>
  <c r="BH14" i="27"/>
  <c r="BI14" i="27" s="1"/>
  <c r="BF14" i="27" s="1"/>
  <c r="BH38" i="27"/>
  <c r="BI38" i="27" s="1"/>
  <c r="BF38" i="27" s="1"/>
  <c r="BH20" i="27"/>
  <c r="BI20" i="27" s="1"/>
  <c r="BF20" i="27" s="1"/>
  <c r="BH42" i="27"/>
  <c r="BI42" i="27" s="1"/>
  <c r="BF42" i="27" s="1"/>
  <c r="BH11" i="27"/>
  <c r="BI11" i="27" s="1"/>
  <c r="BF11" i="27" s="1"/>
  <c r="BH22" i="27"/>
  <c r="BI22" i="27" s="1"/>
  <c r="BF22" i="27" s="1"/>
  <c r="BH34" i="27"/>
  <c r="BI34" i="27" s="1"/>
  <c r="BF34" i="27" s="1"/>
  <c r="BH12" i="27"/>
  <c r="BI12" i="27" s="1"/>
  <c r="BF12" i="27" s="1"/>
  <c r="BH15" i="27"/>
  <c r="BI15" i="27" s="1"/>
  <c r="BF15" i="27" s="1"/>
  <c r="BH31" i="27"/>
  <c r="BI31" i="27" s="1"/>
  <c r="BF31" i="27" s="1"/>
  <c r="BH36" i="27"/>
  <c r="BI36" i="27" s="1"/>
  <c r="BF36" i="27" s="1"/>
  <c r="BH9" i="27"/>
  <c r="BI9" i="27" s="1"/>
  <c r="BF9" i="27" s="1"/>
  <c r="BH35" i="27"/>
  <c r="BI35" i="27" s="1"/>
  <c r="BF35" i="27" s="1"/>
  <c r="BH33" i="27"/>
  <c r="BI33" i="27" s="1"/>
  <c r="BF33" i="27" s="1"/>
  <c r="BH39" i="27"/>
  <c r="BI39" i="27" s="1"/>
  <c r="BF39" i="27" s="1"/>
  <c r="BH25" i="27"/>
  <c r="BI25" i="27" s="1"/>
  <c r="BF25" i="27" s="1"/>
  <c r="BH21" i="27"/>
  <c r="BI21" i="27" s="1"/>
  <c r="BF21" i="27" s="1"/>
  <c r="BH26" i="27"/>
  <c r="BI26" i="27" s="1"/>
  <c r="BF26" i="27" s="1"/>
  <c r="BH28" i="27"/>
  <c r="BI28" i="27" s="1"/>
  <c r="BF28" i="27" s="1"/>
  <c r="BH37" i="27"/>
  <c r="BI37" i="27" s="1"/>
  <c r="BF37" i="27" s="1"/>
  <c r="BH32" i="27"/>
  <c r="BI32" i="27" s="1"/>
  <c r="BF32" i="27" s="1"/>
  <c r="BH30" i="27"/>
  <c r="BI30" i="27" s="1"/>
  <c r="BF30" i="27" s="1"/>
  <c r="BH48" i="27"/>
  <c r="BI48" i="27" s="1"/>
  <c r="BF48" i="27" s="1"/>
  <c r="BH24" i="27"/>
  <c r="BI24" i="27" s="1"/>
  <c r="BF24" i="27" s="1"/>
  <c r="BH46" i="27"/>
  <c r="BI46" i="27" s="1"/>
  <c r="BF46" i="27" s="1"/>
  <c r="BH29" i="27"/>
  <c r="BI29" i="27" s="1"/>
  <c r="BF29" i="27" s="1"/>
  <c r="BH7" i="27"/>
  <c r="BI7" i="27" s="1"/>
  <c r="BF7" i="27" s="1"/>
  <c r="BH43" i="27"/>
  <c r="BI43" i="27" s="1"/>
  <c r="BF43" i="27" s="1"/>
  <c r="BH16" i="27"/>
  <c r="BI16" i="27" s="1"/>
  <c r="BF16" i="27" s="1"/>
  <c r="BH10" i="27"/>
  <c r="BI10" i="27" s="1"/>
  <c r="BF10" i="27" s="1"/>
  <c r="AO35" i="27"/>
  <c r="AP35" i="27" s="1"/>
  <c r="AM35" i="27" s="1"/>
  <c r="AO10" i="27"/>
  <c r="AP10" i="27" s="1"/>
  <c r="AM10" i="27" s="1"/>
  <c r="AO37" i="27"/>
  <c r="AP37" i="27" s="1"/>
  <c r="AM37" i="27" s="1"/>
  <c r="AO11" i="27"/>
  <c r="AP11" i="27" s="1"/>
  <c r="AM11" i="27" s="1"/>
  <c r="AO38" i="27"/>
  <c r="AP38" i="27" s="1"/>
  <c r="AM38" i="27" s="1"/>
  <c r="AO6" i="27"/>
  <c r="AP6" i="27" s="1"/>
  <c r="AM6" i="27" s="1"/>
  <c r="AO24" i="27"/>
  <c r="AP24" i="27" s="1"/>
  <c r="AM24" i="27" s="1"/>
  <c r="AO39" i="27"/>
  <c r="AP39" i="27" s="1"/>
  <c r="AM39" i="27" s="1"/>
  <c r="AO19" i="27"/>
  <c r="AP19" i="27" s="1"/>
  <c r="AM19" i="27" s="1"/>
  <c r="AO48" i="27"/>
  <c r="AP48" i="27" s="1"/>
  <c r="AM48" i="27" s="1"/>
  <c r="AO40" i="27"/>
  <c r="AP40" i="27" s="1"/>
  <c r="AM40" i="27" s="1"/>
  <c r="AO8" i="27"/>
  <c r="AP8" i="27" s="1"/>
  <c r="AM8" i="27" s="1"/>
  <c r="AO33" i="27"/>
  <c r="AP33" i="27" s="1"/>
  <c r="AM33" i="27" s="1"/>
  <c r="AO22" i="27"/>
  <c r="AP22" i="27" s="1"/>
  <c r="AM22" i="27" s="1"/>
  <c r="AO30" i="27"/>
  <c r="AP30" i="27" s="1"/>
  <c r="AM30" i="27" s="1"/>
  <c r="AO31" i="27"/>
  <c r="AP31" i="27" s="1"/>
  <c r="AM31" i="27" s="1"/>
  <c r="AO46" i="27"/>
  <c r="AP46" i="27" s="1"/>
  <c r="AM46" i="27" s="1"/>
  <c r="AO20" i="27"/>
  <c r="AP20" i="27" s="1"/>
  <c r="AM20" i="27" s="1"/>
  <c r="AO47" i="27"/>
  <c r="AP47" i="27" s="1"/>
  <c r="AM47" i="27" s="1"/>
  <c r="AO7" i="27"/>
  <c r="AP7" i="27" s="1"/>
  <c r="AM7" i="27" s="1"/>
  <c r="AO12" i="27"/>
  <c r="AP12" i="27" s="1"/>
  <c r="AM12" i="27" s="1"/>
  <c r="AO27" i="27"/>
  <c r="AP27" i="27" s="1"/>
  <c r="AM27" i="27" s="1"/>
  <c r="AO21" i="27"/>
  <c r="AP21" i="27" s="1"/>
  <c r="AM21" i="27" s="1"/>
  <c r="AO14" i="27"/>
  <c r="AP14" i="27" s="1"/>
  <c r="AM14" i="27" s="1"/>
  <c r="AO42" i="27"/>
  <c r="AP42" i="27" s="1"/>
  <c r="AM42" i="27" s="1"/>
  <c r="AO41" i="27"/>
  <c r="AP41" i="27" s="1"/>
  <c r="AM41" i="27" s="1"/>
  <c r="AO15" i="27"/>
  <c r="AP15" i="27" s="1"/>
  <c r="AM15" i="27" s="1"/>
  <c r="AO18" i="27"/>
  <c r="AP18" i="27" s="1"/>
  <c r="AM18" i="27" s="1"/>
  <c r="AO26" i="27"/>
  <c r="AP26" i="27" s="1"/>
  <c r="AM26" i="27" s="1"/>
  <c r="AO23" i="27"/>
  <c r="AP23" i="27" s="1"/>
  <c r="AM23" i="27" s="1"/>
  <c r="AO44" i="27"/>
  <c r="AP44" i="27" s="1"/>
  <c r="AM44" i="27" s="1"/>
  <c r="AO28" i="27"/>
  <c r="AP28" i="27" s="1"/>
  <c r="AM28" i="27" s="1"/>
  <c r="AO43" i="27"/>
  <c r="AP43" i="27" s="1"/>
  <c r="AM43" i="27" s="1"/>
  <c r="AO9" i="27"/>
  <c r="AP9" i="27" s="1"/>
  <c r="AM9" i="27" s="1"/>
  <c r="AO16" i="27"/>
  <c r="AP16" i="27" s="1"/>
  <c r="AM16" i="27" s="1"/>
  <c r="AO25" i="27"/>
  <c r="AP25" i="27" s="1"/>
  <c r="AM25" i="27" s="1"/>
  <c r="AO29" i="27"/>
  <c r="AP29" i="27" s="1"/>
  <c r="AM29" i="27" s="1"/>
  <c r="AO13" i="27"/>
  <c r="AP13" i="27" s="1"/>
  <c r="AM13" i="27" s="1"/>
  <c r="AO36" i="27"/>
  <c r="AP36" i="27" s="1"/>
  <c r="AM36" i="27" s="1"/>
  <c r="AO45" i="27"/>
  <c r="AP45" i="27" s="1"/>
  <c r="AM45" i="27" s="1"/>
  <c r="AO32" i="27"/>
  <c r="AP32" i="27" s="1"/>
  <c r="AM32" i="27" s="1"/>
  <c r="AO34" i="27"/>
  <c r="AP34" i="27" s="1"/>
  <c r="AM34" i="27" s="1"/>
  <c r="AO17" i="27"/>
  <c r="AP17" i="27" s="1"/>
  <c r="AM17" i="27" s="1"/>
  <c r="AO5" i="27"/>
  <c r="AJ77" i="27"/>
  <c r="AI77" i="27" s="1"/>
  <c r="AJ74" i="27"/>
  <c r="AI74" i="27" s="1"/>
  <c r="AJ61" i="27"/>
  <c r="AI61" i="27" s="1"/>
  <c r="AJ72" i="27"/>
  <c r="AI72" i="27" s="1"/>
  <c r="AJ73" i="27"/>
  <c r="AI73" i="27" s="1"/>
  <c r="AJ76" i="27"/>
  <c r="AI76" i="27" s="1"/>
  <c r="AJ70" i="27"/>
  <c r="AI70" i="27" s="1"/>
  <c r="AJ75" i="27"/>
  <c r="AI75" i="27" s="1"/>
  <c r="AJ69" i="27"/>
  <c r="AI69" i="27" s="1"/>
  <c r="AJ78" i="27"/>
  <c r="AI78" i="27" s="1"/>
  <c r="AD77" i="27"/>
  <c r="AC77" i="27" s="1"/>
  <c r="X61" i="27"/>
  <c r="W61" i="27" s="1"/>
  <c r="AD76" i="27"/>
  <c r="AC76" i="27" s="1"/>
  <c r="AD82" i="27"/>
  <c r="AC82" i="27" s="1"/>
  <c r="AD80" i="27"/>
  <c r="AC80" i="27" s="1"/>
  <c r="AD79" i="27"/>
  <c r="AC79" i="27" s="1"/>
  <c r="AD81" i="27"/>
  <c r="AC81" i="27" s="1"/>
  <c r="AD83" i="27"/>
  <c r="AC83" i="27" s="1"/>
  <c r="AD75" i="27"/>
  <c r="AC75" i="27" s="1"/>
  <c r="AD78" i="27"/>
  <c r="AC78" i="27" s="1"/>
  <c r="AJ64" i="27"/>
  <c r="AI64" i="27" s="1"/>
  <c r="AJ71" i="27"/>
  <c r="AI71" i="27" s="1"/>
  <c r="AJ79" i="27"/>
  <c r="AI79" i="27" s="1"/>
  <c r="AJ67" i="27"/>
  <c r="AI67" i="27" s="1"/>
  <c r="X64" i="27"/>
  <c r="W64" i="27" s="1"/>
  <c r="X62" i="27"/>
  <c r="W62" i="27" s="1"/>
  <c r="X63" i="27"/>
  <c r="W63" i="27" s="1"/>
  <c r="AJ62" i="27"/>
  <c r="AI62" i="27" s="1"/>
  <c r="AJ68" i="27"/>
  <c r="AI68" i="27" s="1"/>
  <c r="AJ65" i="27"/>
  <c r="AI65" i="27" s="1"/>
  <c r="AJ63" i="27"/>
  <c r="AI63" i="27" s="1"/>
  <c r="AJ66" i="27"/>
  <c r="AI66" i="27" s="1"/>
  <c r="BH5" i="27"/>
  <c r="BI5" i="27" s="1"/>
  <c r="BF5" i="27" s="1"/>
  <c r="AP5" i="27" l="1"/>
  <c r="AM5" i="27" s="1"/>
</calcChain>
</file>

<file path=xl/sharedStrings.xml><?xml version="1.0" encoding="utf-8"?>
<sst xmlns="http://schemas.openxmlformats.org/spreadsheetml/2006/main" count="2781" uniqueCount="88">
  <si>
    <t>JOGADOR</t>
  </si>
  <si>
    <t>GOLS</t>
  </si>
  <si>
    <t>ASSIST</t>
  </si>
  <si>
    <t>Alberto Henrique</t>
  </si>
  <si>
    <t>Allan Borela</t>
  </si>
  <si>
    <t>Breno (GK)</t>
  </si>
  <si>
    <t>David Melo</t>
  </si>
  <si>
    <t>Douglas DG (GK)</t>
  </si>
  <si>
    <t>Felipe Horsts</t>
  </si>
  <si>
    <t>Gabriel Andrade</t>
  </si>
  <si>
    <t>Gabriel Castro</t>
  </si>
  <si>
    <t>Gabriel Cosendey</t>
  </si>
  <si>
    <t>Guilherme Santos (GK)</t>
  </si>
  <si>
    <t>Gustavo Gomes</t>
  </si>
  <si>
    <t>Henrique Viza</t>
  </si>
  <si>
    <t>João Victor - Bazim</t>
  </si>
  <si>
    <t>João Vitor Nunes</t>
  </si>
  <si>
    <t>José Guilherme</t>
  </si>
  <si>
    <t>Kyrius Barros</t>
  </si>
  <si>
    <t>Leo Bitencourt</t>
  </si>
  <si>
    <t>Leo Starling</t>
  </si>
  <si>
    <t>Lucas Borela</t>
  </si>
  <si>
    <t>Lucas Gama - Passarim</t>
  </si>
  <si>
    <t>Lucas Leite - Coxinha</t>
  </si>
  <si>
    <t>Marcelo Castro</t>
  </si>
  <si>
    <t>Marco Antonio</t>
  </si>
  <si>
    <t>Matheus Gomes</t>
  </si>
  <si>
    <t>Meurin</t>
  </si>
  <si>
    <t>Pablo Brandão</t>
  </si>
  <si>
    <t>Pedro Chequer</t>
  </si>
  <si>
    <t>Pedro Dias</t>
  </si>
  <si>
    <t>Pierre Paulo</t>
  </si>
  <si>
    <t>Rafael Mendes</t>
  </si>
  <si>
    <t>Rafael Vasconcelos</t>
  </si>
  <si>
    <t>Raphael Ambrosio</t>
  </si>
  <si>
    <t>Reinaldo Santana</t>
  </si>
  <si>
    <t>Ricardo Marchesini (GK)</t>
  </si>
  <si>
    <t>Ruan Amorim</t>
  </si>
  <si>
    <t>Thiago Amorim - Caputira</t>
  </si>
  <si>
    <t>Wanderson Santiago</t>
  </si>
  <si>
    <t>NOTA</t>
  </si>
  <si>
    <t>-</t>
  </si>
  <si>
    <t>PELADA DA RESENHA - TERÇA 20H</t>
  </si>
  <si>
    <t>GOL</t>
  </si>
  <si>
    <t xml:space="preserve">GOL </t>
  </si>
  <si>
    <t>PRESENÇA</t>
  </si>
  <si>
    <t>GOLS TOTAIS</t>
  </si>
  <si>
    <t>ASSIST TOTAIS</t>
  </si>
  <si>
    <t>MÉDIA TOTAL</t>
  </si>
  <si>
    <t>PRESENTE</t>
  </si>
  <si>
    <t>P</t>
  </si>
  <si>
    <t>%</t>
  </si>
  <si>
    <t>ARTILHEIRO</t>
  </si>
  <si>
    <t>GARÇOM</t>
  </si>
  <si>
    <t>BAGRE</t>
  </si>
  <si>
    <t>O</t>
  </si>
  <si>
    <t>Gustavo Bumbum (GK)</t>
  </si>
  <si>
    <t>BAGRE 50%</t>
  </si>
  <si>
    <t>POSIÇÃO</t>
  </si>
  <si>
    <t>MEI</t>
  </si>
  <si>
    <t>ATA</t>
  </si>
  <si>
    <t>ZAG</t>
  </si>
  <si>
    <t>MELHOR GOL</t>
  </si>
  <si>
    <t>MELHOR ZAG</t>
  </si>
  <si>
    <t>MELHOR MEI</t>
  </si>
  <si>
    <t>MELHOR ATA</t>
  </si>
  <si>
    <t>MELHOR GOL 50%</t>
  </si>
  <si>
    <t>MELHOR ZAG 50%</t>
  </si>
  <si>
    <t>MELHOR MEI 50%</t>
  </si>
  <si>
    <t>MELHOR ATA 50%</t>
  </si>
  <si>
    <t>MÉDIA POND</t>
  </si>
  <si>
    <t>FOMINHAS</t>
  </si>
  <si>
    <t>G+A</t>
  </si>
  <si>
    <t>GOLS + ASSIST</t>
  </si>
  <si>
    <t>Daniel Medeiros (GK)</t>
  </si>
  <si>
    <t>FOTO</t>
  </si>
  <si>
    <t>F</t>
  </si>
  <si>
    <t>Pedro Abreu</t>
  </si>
  <si>
    <t>FOTOS</t>
  </si>
  <si>
    <t>Leo Hubner</t>
  </si>
  <si>
    <t>Wellington Leite</t>
  </si>
  <si>
    <t>Yamam Fagundes</t>
  </si>
  <si>
    <t>Lucas Bertolace</t>
  </si>
  <si>
    <t>Gabriel Teixeira</t>
  </si>
  <si>
    <t>Luis do Corte</t>
  </si>
  <si>
    <t>Salomão Charbel</t>
  </si>
  <si>
    <t>Jeferson Neves</t>
  </si>
  <si>
    <t>30% DE PRESENÇA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</si>
</sst>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5"/>
      </patternFill>
    </fill>
  </fills>
  <borders count="6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43" fontId="1" fillId="0" borderId="0" applyFont="0" applyFill="0" applyBorder="0" applyAlignment="0" applyProtection="0"/>
    <xf numFmtId="0" fontId="1" fillId="14" borderId="0" applyNumberFormat="0" applyBorder="0" applyAlignment="0" applyProtection="0"/>
  </cellStyleXfs>
  <cellXfs count="381">
    <xf numFmtId="0" fontId="0" fillId="0" borderId="0" xfId="0"/>
    <xf numFmtId="16" fontId="0" fillId="0" borderId="0" xfId="0" applyNumberFormat="1"/>
    <xf numFmtId="0" fontId="0" fillId="0" borderId="0" xfId="0" applyNumberFormat="1"/>
    <xf numFmtId="0" fontId="0" fillId="0" borderId="2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0" xfId="0" applyNumberFormat="1"/>
    <xf numFmtId="0" fontId="3" fillId="0" borderId="0" xfId="0" applyFont="1"/>
    <xf numFmtId="9" fontId="0" fillId="0" borderId="2" xfId="1" applyFont="1" applyBorder="1" applyAlignment="1">
      <alignment horizontal="center"/>
    </xf>
    <xf numFmtId="9" fontId="0" fillId="0" borderId="0" xfId="1" applyFont="1"/>
    <xf numFmtId="0" fontId="0" fillId="0" borderId="1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7" xfId="0" applyNumberForma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2" fillId="3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0" fillId="0" borderId="16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8" xfId="0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3" borderId="2" xfId="5" applyFill="1" applyBorder="1" applyAlignment="1">
      <alignment horizontal="center"/>
    </xf>
    <xf numFmtId="0" fontId="1" fillId="3" borderId="3" xfId="5" applyFill="1" applyBorder="1" applyAlignment="1">
      <alignment horizontal="center"/>
    </xf>
    <xf numFmtId="2" fontId="1" fillId="3" borderId="3" xfId="5" applyNumberFormat="1" applyFill="1" applyBorder="1" applyAlignment="1">
      <alignment horizontal="center"/>
    </xf>
    <xf numFmtId="0" fontId="1" fillId="3" borderId="0" xfId="5" applyFill="1" applyBorder="1" applyAlignment="1">
      <alignment horizontal="center"/>
    </xf>
    <xf numFmtId="0" fontId="1" fillId="3" borderId="16" xfId="5" applyFill="1" applyBorder="1" applyAlignment="1">
      <alignment horizontal="center"/>
    </xf>
    <xf numFmtId="0" fontId="1" fillId="3" borderId="17" xfId="5" applyFill="1" applyBorder="1" applyAlignment="1">
      <alignment horizontal="center"/>
    </xf>
    <xf numFmtId="2" fontId="1" fillId="3" borderId="17" xfId="5" applyNumberForma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33" xfId="0" applyNumberFormat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2" xfId="0" applyBorder="1"/>
    <xf numFmtId="0" fontId="1" fillId="9" borderId="3" xfId="3" applyBorder="1" applyAlignment="1">
      <alignment horizontal="center"/>
    </xf>
    <xf numFmtId="0" fontId="1" fillId="8" borderId="3" xfId="2" applyBorder="1" applyAlignment="1">
      <alignment horizontal="center"/>
    </xf>
    <xf numFmtId="2" fontId="1" fillId="9" borderId="3" xfId="3" applyNumberFormat="1" applyBorder="1" applyAlignment="1">
      <alignment horizontal="center"/>
    </xf>
    <xf numFmtId="2" fontId="1" fillId="8" borderId="3" xfId="2" applyNumberFormat="1" applyBorder="1" applyAlignment="1">
      <alignment horizontal="center"/>
    </xf>
    <xf numFmtId="0" fontId="1" fillId="8" borderId="2" xfId="2" applyBorder="1" applyAlignment="1">
      <alignment horizontal="center"/>
    </xf>
    <xf numFmtId="0" fontId="1" fillId="9" borderId="2" xfId="3" applyBorder="1" applyAlignment="1">
      <alignment horizontal="center"/>
    </xf>
    <xf numFmtId="0" fontId="1" fillId="11" borderId="35" xfId="5" applyBorder="1" applyAlignment="1">
      <alignment horizontal="center"/>
    </xf>
    <xf numFmtId="0" fontId="1" fillId="8" borderId="1" xfId="2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1" fillId="9" borderId="1" xfId="3" applyBorder="1" applyAlignment="1">
      <alignment horizontal="center"/>
    </xf>
    <xf numFmtId="0" fontId="1" fillId="12" borderId="35" xfId="5" applyFill="1" applyBorder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2" fontId="1" fillId="3" borderId="0" xfId="5" applyNumberFormat="1" applyFill="1" applyBorder="1" applyAlignment="1">
      <alignment horizontal="center"/>
    </xf>
    <xf numFmtId="0" fontId="0" fillId="0" borderId="0" xfId="0" applyBorder="1"/>
    <xf numFmtId="0" fontId="0" fillId="3" borderId="0" xfId="0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1" fillId="3" borderId="2" xfId="3" applyFill="1" applyBorder="1" applyAlignment="1">
      <alignment horizontal="center"/>
    </xf>
    <xf numFmtId="2" fontId="1" fillId="3" borderId="3" xfId="3" applyNumberFormat="1" applyFill="1" applyBorder="1" applyAlignment="1">
      <alignment horizontal="center"/>
    </xf>
    <xf numFmtId="0" fontId="1" fillId="3" borderId="16" xfId="3" applyFill="1" applyBorder="1" applyAlignment="1">
      <alignment horizontal="center"/>
    </xf>
    <xf numFmtId="2" fontId="1" fillId="3" borderId="17" xfId="3" applyNumberFormat="1" applyFill="1" applyBorder="1" applyAlignment="1">
      <alignment horizontal="center"/>
    </xf>
    <xf numFmtId="0" fontId="0" fillId="3" borderId="0" xfId="0" applyFill="1"/>
    <xf numFmtId="0" fontId="0" fillId="0" borderId="37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4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1" fillId="12" borderId="6" xfId="5" applyFill="1" applyBorder="1" applyAlignment="1">
      <alignment horizontal="center"/>
    </xf>
    <xf numFmtId="2" fontId="1" fillId="12" borderId="19" xfId="5" applyNumberFormat="1" applyFill="1" applyBorder="1" applyAlignment="1">
      <alignment horizontal="center"/>
    </xf>
    <xf numFmtId="0" fontId="0" fillId="0" borderId="1" xfId="0" applyBorder="1"/>
    <xf numFmtId="0" fontId="0" fillId="0" borderId="16" xfId="0" applyBorder="1"/>
    <xf numFmtId="2" fontId="1" fillId="3" borderId="0" xfId="4" applyNumberFormat="1" applyFill="1" applyBorder="1" applyAlignment="1">
      <alignment horizontal="center"/>
    </xf>
    <xf numFmtId="2" fontId="1" fillId="3" borderId="0" xfId="2" applyNumberFormat="1" applyFill="1" applyBorder="1" applyAlignment="1">
      <alignment horizontal="center"/>
    </xf>
    <xf numFmtId="0" fontId="1" fillId="3" borderId="0" xfId="5" applyNumberFormat="1" applyFill="1" applyBorder="1" applyAlignment="1">
      <alignment horizontal="center"/>
    </xf>
    <xf numFmtId="0" fontId="0" fillId="3" borderId="0" xfId="0" applyNumberFormat="1" applyFill="1" applyAlignment="1">
      <alignment horizontal="center"/>
    </xf>
    <xf numFmtId="0" fontId="2" fillId="3" borderId="0" xfId="0" applyNumberFormat="1" applyFont="1" applyFill="1" applyBorder="1" applyAlignment="1">
      <alignment horizontal="center" vertical="center"/>
    </xf>
    <xf numFmtId="0" fontId="0" fillId="3" borderId="0" xfId="0" applyNumberFormat="1" applyFill="1"/>
    <xf numFmtId="0" fontId="1" fillId="3" borderId="0" xfId="3" applyNumberFormat="1" applyFill="1" applyBorder="1" applyAlignment="1">
      <alignment horizontal="center"/>
    </xf>
    <xf numFmtId="0" fontId="1" fillId="3" borderId="0" xfId="2" applyNumberFormat="1" applyFill="1" applyBorder="1" applyAlignment="1">
      <alignment horizontal="center"/>
    </xf>
    <xf numFmtId="9" fontId="0" fillId="0" borderId="0" xfId="1" applyNumberFormat="1" applyFont="1"/>
    <xf numFmtId="164" fontId="0" fillId="3" borderId="0" xfId="0" applyNumberFormat="1" applyFill="1" applyAlignment="1">
      <alignment horizontal="center"/>
    </xf>
    <xf numFmtId="1" fontId="0" fillId="0" borderId="3" xfId="6" applyNumberFormat="1" applyFont="1" applyBorder="1"/>
    <xf numFmtId="9" fontId="0" fillId="0" borderId="0" xfId="1" applyFont="1" applyAlignment="1">
      <alignment horizontal="center"/>
    </xf>
    <xf numFmtId="9" fontId="1" fillId="3" borderId="3" xfId="1" applyFill="1" applyBorder="1" applyAlignment="1">
      <alignment horizontal="center"/>
    </xf>
    <xf numFmtId="9" fontId="1" fillId="3" borderId="0" xfId="1" applyFill="1" applyBorder="1" applyAlignment="1">
      <alignment horizontal="center"/>
    </xf>
    <xf numFmtId="9" fontId="1" fillId="9" borderId="3" xfId="3" applyNumberFormat="1" applyBorder="1" applyAlignment="1">
      <alignment horizontal="center"/>
    </xf>
    <xf numFmtId="9" fontId="1" fillId="8" borderId="3" xfId="2" applyNumberFormat="1" applyBorder="1" applyAlignment="1">
      <alignment horizontal="center"/>
    </xf>
    <xf numFmtId="9" fontId="0" fillId="3" borderId="0" xfId="1" applyFont="1" applyFill="1" applyAlignment="1">
      <alignment horizontal="center"/>
    </xf>
    <xf numFmtId="9" fontId="2" fillId="3" borderId="0" xfId="1" applyFont="1" applyFill="1" applyBorder="1" applyAlignment="1">
      <alignment horizontal="center" vertical="center"/>
    </xf>
    <xf numFmtId="2" fontId="1" fillId="3" borderId="0" xfId="3" applyNumberFormat="1" applyFill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9" fontId="1" fillId="3" borderId="17" xfId="1" applyFill="1" applyBorder="1" applyAlignment="1">
      <alignment horizontal="center"/>
    </xf>
    <xf numFmtId="0" fontId="1" fillId="3" borderId="6" xfId="5" applyFill="1" applyBorder="1" applyAlignment="1">
      <alignment horizontal="center"/>
    </xf>
    <xf numFmtId="0" fontId="1" fillId="3" borderId="30" xfId="5" applyFill="1" applyBorder="1" applyAlignment="1">
      <alignment horizontal="center"/>
    </xf>
    <xf numFmtId="0" fontId="0" fillId="0" borderId="15" xfId="0" applyBorder="1"/>
    <xf numFmtId="0" fontId="1" fillId="11" borderId="41" xfId="5" applyBorder="1" applyAlignment="1">
      <alignment horizontal="center"/>
    </xf>
    <xf numFmtId="0" fontId="1" fillId="11" borderId="42" xfId="5" applyBorder="1" applyAlignment="1">
      <alignment horizontal="center"/>
    </xf>
    <xf numFmtId="1" fontId="0" fillId="0" borderId="17" xfId="6" applyNumberFormat="1" applyFont="1" applyBorder="1"/>
    <xf numFmtId="9" fontId="0" fillId="0" borderId="16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5" xfId="0" applyBorder="1" applyAlignment="1">
      <alignment horizontal="center"/>
    </xf>
    <xf numFmtId="2" fontId="0" fillId="0" borderId="27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5" xfId="0" applyNumberFormat="1" applyBorder="1" applyAlignment="1">
      <alignment horizontal="center"/>
    </xf>
    <xf numFmtId="0" fontId="1" fillId="12" borderId="41" xfId="5" applyFill="1" applyBorder="1" applyAlignment="1">
      <alignment horizontal="center"/>
    </xf>
    <xf numFmtId="9" fontId="1" fillId="12" borderId="42" xfId="1" applyFill="1" applyBorder="1" applyAlignment="1">
      <alignment horizontal="center"/>
    </xf>
    <xf numFmtId="2" fontId="1" fillId="11" borderId="42" xfId="5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16" fontId="2" fillId="2" borderId="13" xfId="0" applyNumberFormat="1" applyFont="1" applyFill="1" applyBorder="1" applyAlignment="1">
      <alignment horizontal="center"/>
    </xf>
    <xf numFmtId="16" fontId="2" fillId="6" borderId="13" xfId="0" applyNumberFormat="1" applyFont="1" applyFill="1" applyBorder="1" applyAlignment="1">
      <alignment horizontal="center"/>
    </xf>
    <xf numFmtId="0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2" fontId="0" fillId="0" borderId="48" xfId="0" applyNumberForma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16" fontId="2" fillId="7" borderId="22" xfId="0" applyNumberFormat="1" applyFont="1" applyFill="1" applyBorder="1" applyAlignment="1">
      <alignment horizontal="center"/>
    </xf>
    <xf numFmtId="2" fontId="0" fillId="0" borderId="52" xfId="0" applyNumberFormat="1" applyBorder="1" applyAlignment="1">
      <alignment horizontal="center"/>
    </xf>
    <xf numFmtId="2" fontId="0" fillId="0" borderId="23" xfId="0" applyNumberFormat="1" applyBorder="1" applyAlignment="1">
      <alignment horizontal="center"/>
    </xf>
    <xf numFmtId="2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1" fontId="0" fillId="0" borderId="2" xfId="6" applyNumberFormat="1" applyFont="1" applyBorder="1"/>
    <xf numFmtId="1" fontId="0" fillId="0" borderId="16" xfId="6" applyNumberFormat="1" applyFont="1" applyBorder="1"/>
    <xf numFmtId="2" fontId="2" fillId="3" borderId="0" xfId="5" applyNumberFormat="1" applyFont="1" applyFill="1" applyBorder="1" applyAlignment="1">
      <alignment horizontal="center" vertical="center"/>
    </xf>
    <xf numFmtId="0" fontId="1" fillId="3" borderId="15" xfId="5" applyFill="1" applyBorder="1" applyAlignment="1">
      <alignment horizontal="center"/>
    </xf>
    <xf numFmtId="2" fontId="0" fillId="4" borderId="3" xfId="0" applyNumberForma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1" fillId="12" borderId="42" xfId="5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3" borderId="3" xfId="0" applyNumberFormat="1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2" fontId="0" fillId="3" borderId="16" xfId="0" applyNumberFormat="1" applyFill="1" applyBorder="1" applyAlignment="1">
      <alignment horizontal="center"/>
    </xf>
    <xf numFmtId="2" fontId="0" fillId="3" borderId="17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2" fontId="0" fillId="3" borderId="7" xfId="0" applyNumberFormat="1" applyFill="1" applyBorder="1" applyAlignment="1">
      <alignment horizontal="center"/>
    </xf>
    <xf numFmtId="0" fontId="0" fillId="3" borderId="28" xfId="0" applyFill="1" applyBorder="1" applyAlignment="1">
      <alignment horizontal="center"/>
    </xf>
    <xf numFmtId="2" fontId="0" fillId="3" borderId="33" xfId="0" applyNumberFormat="1" applyFill="1" applyBorder="1" applyAlignment="1">
      <alignment horizontal="center"/>
    </xf>
    <xf numFmtId="2" fontId="0" fillId="3" borderId="5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3" borderId="2" xfId="0" applyNumberFormat="1" applyFill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0" fontId="0" fillId="3" borderId="16" xfId="0" applyNumberFormat="1" applyFill="1" applyBorder="1" applyAlignment="1">
      <alignment horizontal="center"/>
    </xf>
    <xf numFmtId="2" fontId="6" fillId="5" borderId="3" xfId="0" applyNumberFormat="1" applyFont="1" applyFill="1" applyBorder="1" applyAlignment="1">
      <alignment horizontal="center"/>
    </xf>
    <xf numFmtId="2" fontId="0" fillId="4" borderId="7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2" fontId="6" fillId="3" borderId="3" xfId="0" applyNumberFormat="1" applyFont="1" applyFill="1" applyBorder="1" applyAlignment="1">
      <alignment horizontal="center"/>
    </xf>
    <xf numFmtId="0" fontId="3" fillId="0" borderId="1" xfId="0" applyFont="1" applyBorder="1"/>
    <xf numFmtId="0" fontId="3" fillId="0" borderId="15" xfId="0" applyFont="1" applyBorder="1"/>
    <xf numFmtId="0" fontId="1" fillId="3" borderId="1" xfId="5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8" xfId="0" applyNumberFormat="1" applyFont="1" applyFill="1" applyBorder="1" applyAlignment="1">
      <alignment horizontal="center" vertical="center"/>
    </xf>
    <xf numFmtId="0" fontId="2" fillId="2" borderId="29" xfId="0" applyNumberFormat="1" applyFont="1" applyFill="1" applyBorder="1" applyAlignment="1">
      <alignment horizontal="center" vertical="center"/>
    </xf>
    <xf numFmtId="16" fontId="2" fillId="5" borderId="14" xfId="0" applyNumberFormat="1" applyFont="1" applyFill="1" applyBorder="1" applyAlignment="1">
      <alignment horizontal="center"/>
    </xf>
    <xf numFmtId="16" fontId="2" fillId="4" borderId="14" xfId="0" applyNumberFormat="1" applyFont="1" applyFill="1" applyBorder="1" applyAlignment="1">
      <alignment horizontal="center"/>
    </xf>
    <xf numFmtId="0" fontId="2" fillId="2" borderId="9" xfId="0" applyNumberFormat="1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7" fillId="3" borderId="0" xfId="0" applyFont="1" applyFill="1" applyBorder="1" applyAlignment="1">
      <alignment horizontal="center"/>
    </xf>
    <xf numFmtId="2" fontId="7" fillId="3" borderId="0" xfId="0" applyNumberFormat="1" applyFont="1" applyFill="1" applyBorder="1" applyAlignment="1">
      <alignment horizontal="center"/>
    </xf>
    <xf numFmtId="0" fontId="7" fillId="3" borderId="0" xfId="0" applyNumberFormat="1" applyFont="1" applyFill="1" applyBorder="1" applyAlignment="1">
      <alignment horizontal="center"/>
    </xf>
    <xf numFmtId="2" fontId="7" fillId="3" borderId="0" xfId="0" applyNumberFormat="1" applyFont="1" applyFill="1" applyBorder="1" applyAlignment="1">
      <alignment horizontal="left" indent="2"/>
    </xf>
    <xf numFmtId="0" fontId="1" fillId="10" borderId="1" xfId="4" applyBorder="1" applyAlignment="1">
      <alignment horizontal="center"/>
    </xf>
    <xf numFmtId="0" fontId="1" fillId="10" borderId="6" xfId="4" applyBorder="1" applyAlignment="1">
      <alignment horizontal="center"/>
    </xf>
    <xf numFmtId="0" fontId="1" fillId="10" borderId="2" xfId="4" applyBorder="1" applyAlignment="1">
      <alignment horizontal="center"/>
    </xf>
    <xf numFmtId="2" fontId="1" fillId="10" borderId="3" xfId="4" applyNumberFormat="1" applyBorder="1" applyAlignment="1">
      <alignment horizontal="center"/>
    </xf>
    <xf numFmtId="2" fontId="1" fillId="10" borderId="19" xfId="4" applyNumberFormat="1" applyBorder="1" applyAlignment="1">
      <alignment horizontal="center"/>
    </xf>
    <xf numFmtId="0" fontId="1" fillId="14" borderId="1" xfId="7" applyBorder="1" applyAlignment="1">
      <alignment horizontal="center"/>
    </xf>
    <xf numFmtId="0" fontId="1" fillId="14" borderId="6" xfId="7" applyBorder="1" applyAlignment="1">
      <alignment horizontal="center"/>
    </xf>
    <xf numFmtId="2" fontId="1" fillId="14" borderId="19" xfId="7" applyNumberFormat="1" applyBorder="1" applyAlignment="1">
      <alignment horizontal="center"/>
    </xf>
    <xf numFmtId="2" fontId="1" fillId="3" borderId="19" xfId="5" applyNumberFormat="1" applyFill="1" applyBorder="1" applyAlignment="1">
      <alignment horizontal="center"/>
    </xf>
    <xf numFmtId="0" fontId="1" fillId="14" borderId="2" xfId="7" applyBorder="1" applyAlignment="1">
      <alignment horizontal="center"/>
    </xf>
    <xf numFmtId="0" fontId="1" fillId="10" borderId="3" xfId="4" applyBorder="1" applyAlignment="1">
      <alignment horizontal="center"/>
    </xf>
    <xf numFmtId="0" fontId="1" fillId="14" borderId="3" xfId="7" applyBorder="1" applyAlignment="1">
      <alignment horizontal="center"/>
    </xf>
    <xf numFmtId="2" fontId="1" fillId="14" borderId="3" xfId="7" applyNumberFormat="1" applyBorder="1" applyAlignment="1">
      <alignment horizontal="center"/>
    </xf>
    <xf numFmtId="2" fontId="1" fillId="3" borderId="31" xfId="5" applyNumberFormat="1" applyFill="1" applyBorder="1" applyAlignment="1">
      <alignment horizontal="center"/>
    </xf>
    <xf numFmtId="0" fontId="3" fillId="0" borderId="35" xfId="0" applyFont="1" applyBorder="1" applyAlignment="1">
      <alignment horizontal="left"/>
    </xf>
    <xf numFmtId="0" fontId="3" fillId="0" borderId="41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1" xfId="0" applyNumberFormat="1" applyBorder="1" applyAlignment="1">
      <alignment horizontal="center"/>
    </xf>
    <xf numFmtId="2" fontId="0" fillId="0" borderId="42" xfId="0" applyNumberFormat="1" applyBorder="1" applyAlignment="1">
      <alignment horizontal="center"/>
    </xf>
    <xf numFmtId="0" fontId="3" fillId="0" borderId="15" xfId="0" applyFont="1" applyBorder="1" applyAlignment="1">
      <alignment horizontal="left"/>
    </xf>
    <xf numFmtId="2" fontId="0" fillId="0" borderId="44" xfId="0" applyNumberFormat="1" applyBorder="1" applyAlignment="1">
      <alignment horizontal="center"/>
    </xf>
    <xf numFmtId="0" fontId="2" fillId="2" borderId="36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2" fontId="2" fillId="2" borderId="5" xfId="0" applyNumberFormat="1" applyFont="1" applyFill="1" applyBorder="1" applyAlignment="1">
      <alignment horizontal="center"/>
    </xf>
    <xf numFmtId="2" fontId="2" fillId="2" borderId="27" xfId="0" applyNumberFormat="1" applyFont="1" applyFill="1" applyBorder="1" applyAlignment="1">
      <alignment horizontal="center"/>
    </xf>
    <xf numFmtId="0" fontId="2" fillId="5" borderId="36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2" fontId="2" fillId="5" borderId="5" xfId="0" applyNumberFormat="1" applyFont="1" applyFill="1" applyBorder="1" applyAlignment="1">
      <alignment horizontal="center"/>
    </xf>
    <xf numFmtId="2" fontId="2" fillId="5" borderId="27" xfId="0" applyNumberFormat="1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2" fontId="2" fillId="6" borderId="5" xfId="0" applyNumberFormat="1" applyFont="1" applyFill="1" applyBorder="1" applyAlignment="1">
      <alignment horizontal="center"/>
    </xf>
    <xf numFmtId="2" fontId="2" fillId="6" borderId="27" xfId="0" applyNumberFormat="1" applyFont="1" applyFill="1" applyBorder="1" applyAlignment="1">
      <alignment horizontal="center"/>
    </xf>
    <xf numFmtId="0" fontId="2" fillId="4" borderId="36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2" fontId="2" fillId="4" borderId="5" xfId="0" applyNumberFormat="1" applyFont="1" applyFill="1" applyBorder="1" applyAlignment="1">
      <alignment horizontal="center"/>
    </xf>
    <xf numFmtId="2" fontId="2" fillId="4" borderId="27" xfId="0" applyNumberFormat="1" applyFont="1" applyFill="1" applyBorder="1" applyAlignment="1">
      <alignment horizontal="center"/>
    </xf>
    <xf numFmtId="0" fontId="2" fillId="7" borderId="5" xfId="0" applyNumberFormat="1" applyFont="1" applyFill="1" applyBorder="1" applyAlignment="1">
      <alignment horizontal="center"/>
    </xf>
    <xf numFmtId="2" fontId="2" fillId="7" borderId="5" xfId="0" applyNumberFormat="1" applyFont="1" applyFill="1" applyBorder="1" applyAlignment="1">
      <alignment horizontal="center"/>
    </xf>
    <xf numFmtId="2" fontId="2" fillId="7" borderId="27" xfId="0" applyNumberFormat="1" applyFont="1" applyFill="1" applyBorder="1" applyAlignment="1">
      <alignment horizontal="center"/>
    </xf>
    <xf numFmtId="2" fontId="2" fillId="2" borderId="48" xfId="0" applyNumberFormat="1" applyFont="1" applyFill="1" applyBorder="1" applyAlignment="1">
      <alignment horizontal="center"/>
    </xf>
    <xf numFmtId="2" fontId="2" fillId="6" borderId="48" xfId="0" applyNumberFormat="1" applyFont="1" applyFill="1" applyBorder="1" applyAlignment="1">
      <alignment horizontal="center"/>
    </xf>
    <xf numFmtId="2" fontId="2" fillId="7" borderId="57" xfId="0" applyNumberFormat="1" applyFont="1" applyFill="1" applyBorder="1" applyAlignment="1">
      <alignment horizontal="center"/>
    </xf>
    <xf numFmtId="2" fontId="2" fillId="7" borderId="43" xfId="0" applyNumberFormat="1" applyFont="1" applyFill="1" applyBorder="1" applyAlignment="1">
      <alignment horizontal="center"/>
    </xf>
    <xf numFmtId="2" fontId="2" fillId="7" borderId="23" xfId="0" applyNumberFormat="1" applyFont="1" applyFill="1" applyBorder="1" applyAlignment="1">
      <alignment horizontal="center"/>
    </xf>
    <xf numFmtId="0" fontId="2" fillId="6" borderId="56" xfId="0" applyFont="1" applyFill="1" applyBorder="1" applyAlignment="1">
      <alignment horizontal="center"/>
    </xf>
    <xf numFmtId="2" fontId="2" fillId="6" borderId="55" xfId="0" applyNumberFormat="1" applyFont="1" applyFill="1" applyBorder="1" applyAlignment="1">
      <alignment horizontal="center"/>
    </xf>
    <xf numFmtId="0" fontId="2" fillId="7" borderId="57" xfId="0" applyNumberFormat="1" applyFont="1" applyFill="1" applyBorder="1" applyAlignment="1">
      <alignment horizontal="center"/>
    </xf>
    <xf numFmtId="0" fontId="0" fillId="3" borderId="35" xfId="0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2" fontId="0" fillId="3" borderId="41" xfId="0" applyNumberFormat="1" applyFill="1" applyBorder="1" applyAlignment="1">
      <alignment horizontal="center"/>
    </xf>
    <xf numFmtId="2" fontId="0" fillId="3" borderId="42" xfId="0" applyNumberFormat="1" applyFill="1" applyBorder="1" applyAlignment="1">
      <alignment horizontal="center"/>
    </xf>
    <xf numFmtId="2" fontId="0" fillId="3" borderId="35" xfId="0" applyNumberFormat="1" applyFill="1" applyBorder="1" applyAlignment="1">
      <alignment horizontal="center"/>
    </xf>
    <xf numFmtId="0" fontId="0" fillId="3" borderId="41" xfId="0" applyNumberFormat="1" applyFill="1" applyBorder="1" applyAlignment="1">
      <alignment horizontal="center"/>
    </xf>
    <xf numFmtId="2" fontId="6" fillId="5" borderId="42" xfId="0" applyNumberFormat="1" applyFont="1" applyFill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4" xfId="0" applyBorder="1" applyAlignment="1">
      <alignment horizontal="center"/>
    </xf>
    <xf numFmtId="2" fontId="0" fillId="0" borderId="34" xfId="0" applyNumberFormat="1" applyBorder="1" applyAlignment="1">
      <alignment horizontal="center"/>
    </xf>
    <xf numFmtId="0" fontId="0" fillId="0" borderId="34" xfId="0" applyNumberFormat="1" applyBorder="1" applyAlignment="1">
      <alignment horizontal="center"/>
    </xf>
    <xf numFmtId="2" fontId="0" fillId="0" borderId="39" xfId="0" applyNumberFormat="1" applyBorder="1" applyAlignment="1">
      <alignment horizontal="center"/>
    </xf>
    <xf numFmtId="0" fontId="0" fillId="3" borderId="45" xfId="0" applyFill="1" applyBorder="1" applyAlignment="1">
      <alignment horizontal="center"/>
    </xf>
    <xf numFmtId="2" fontId="0" fillId="3" borderId="44" xfId="0" applyNumberFormat="1" applyFill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0" fillId="0" borderId="45" xfId="0" applyBorder="1" applyAlignment="1">
      <alignment horizontal="center"/>
    </xf>
    <xf numFmtId="0" fontId="3" fillId="0" borderId="10" xfId="0" applyFont="1" applyBorder="1" applyAlignment="1">
      <alignment horizontal="left"/>
    </xf>
    <xf numFmtId="0" fontId="3" fillId="0" borderId="10" xfId="0" applyFont="1" applyBorder="1"/>
    <xf numFmtId="0" fontId="3" fillId="0" borderId="11" xfId="0" applyFont="1" applyBorder="1"/>
    <xf numFmtId="2" fontId="2" fillId="2" borderId="55" xfId="0" applyNumberFormat="1" applyFont="1" applyFill="1" applyBorder="1" applyAlignment="1">
      <alignment horizontal="center"/>
    </xf>
    <xf numFmtId="2" fontId="6" fillId="5" borderId="7" xfId="0" applyNumberFormat="1" applyFont="1" applyFill="1" applyBorder="1" applyAlignment="1">
      <alignment horizontal="center"/>
    </xf>
    <xf numFmtId="16" fontId="2" fillId="2" borderId="58" xfId="0" applyNumberFormat="1" applyFont="1" applyFill="1" applyBorder="1" applyAlignment="1"/>
    <xf numFmtId="2" fontId="0" fillId="3" borderId="45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28" xfId="0" applyNumberFormat="1" applyFill="1" applyBorder="1" applyAlignment="1">
      <alignment horizontal="center"/>
    </xf>
    <xf numFmtId="0" fontId="0" fillId="0" borderId="56" xfId="0" applyBorder="1" applyAlignment="1">
      <alignment horizontal="center"/>
    </xf>
    <xf numFmtId="2" fontId="6" fillId="6" borderId="42" xfId="0" applyNumberFormat="1" applyFont="1" applyFill="1" applyBorder="1" applyAlignment="1">
      <alignment horizontal="center"/>
    </xf>
    <xf numFmtId="2" fontId="6" fillId="6" borderId="3" xfId="0" applyNumberFormat="1" applyFont="1" applyFill="1" applyBorder="1" applyAlignment="1">
      <alignment horizontal="center"/>
    </xf>
    <xf numFmtId="2" fontId="2" fillId="5" borderId="49" xfId="0" applyNumberFormat="1" applyFont="1" applyFill="1" applyBorder="1" applyAlignment="1">
      <alignment horizontal="center"/>
    </xf>
    <xf numFmtId="2" fontId="0" fillId="3" borderId="54" xfId="0" applyNumberFormat="1" applyFill="1" applyBorder="1" applyAlignment="1">
      <alignment horizontal="center"/>
    </xf>
    <xf numFmtId="2" fontId="6" fillId="2" borderId="44" xfId="0" applyNumberFormat="1" applyFont="1" applyFill="1" applyBorder="1" applyAlignment="1">
      <alignment horizontal="center"/>
    </xf>
    <xf numFmtId="2" fontId="7" fillId="3" borderId="7" xfId="0" applyNumberFormat="1" applyFont="1" applyFill="1" applyBorder="1" applyAlignment="1">
      <alignment horizontal="center"/>
    </xf>
    <xf numFmtId="2" fontId="6" fillId="2" borderId="7" xfId="0" applyNumberFormat="1" applyFont="1" applyFill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2" fontId="7" fillId="3" borderId="33" xfId="0" applyNumberFormat="1" applyFont="1" applyFill="1" applyBorder="1" applyAlignment="1">
      <alignment horizontal="center"/>
    </xf>
    <xf numFmtId="2" fontId="6" fillId="3" borderId="7" xfId="0" applyNumberFormat="1" applyFont="1" applyFill="1" applyBorder="1" applyAlignment="1">
      <alignment horizontal="center"/>
    </xf>
    <xf numFmtId="2" fontId="0" fillId="2" borderId="44" xfId="0" applyNumberFormat="1" applyFill="1" applyBorder="1" applyAlignment="1">
      <alignment horizontal="center"/>
    </xf>
    <xf numFmtId="2" fontId="0" fillId="2" borderId="7" xfId="0" applyNumberFormat="1" applyFill="1" applyBorder="1" applyAlignment="1">
      <alignment horizontal="center"/>
    </xf>
    <xf numFmtId="2" fontId="2" fillId="7" borderId="56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45" xfId="0" applyNumberForma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2" fontId="2" fillId="7" borderId="59" xfId="0" applyNumberFormat="1" applyFont="1" applyFill="1" applyBorder="1" applyAlignment="1">
      <alignment horizontal="center"/>
    </xf>
    <xf numFmtId="2" fontId="0" fillId="0" borderId="56" xfId="0" applyNumberFormat="1" applyBorder="1" applyAlignment="1">
      <alignment horizontal="center"/>
    </xf>
    <xf numFmtId="2" fontId="2" fillId="4" borderId="23" xfId="0" applyNumberFormat="1" applyFont="1" applyFill="1" applyBorder="1" applyAlignment="1">
      <alignment horizontal="center"/>
    </xf>
    <xf numFmtId="2" fontId="0" fillId="0" borderId="0" xfId="0" applyNumberFormat="1" applyBorder="1"/>
    <xf numFmtId="2" fontId="0" fillId="0" borderId="34" xfId="0" applyNumberFormat="1" applyBorder="1"/>
    <xf numFmtId="0" fontId="0" fillId="0" borderId="34" xfId="0" applyBorder="1"/>
    <xf numFmtId="0" fontId="0" fillId="0" borderId="29" xfId="0" applyNumberFormat="1" applyBorder="1" applyAlignment="1">
      <alignment horizontal="center"/>
    </xf>
    <xf numFmtId="2" fontId="6" fillId="5" borderId="33" xfId="0" applyNumberFormat="1" applyFont="1" applyFill="1" applyBorder="1" applyAlignment="1">
      <alignment horizontal="center"/>
    </xf>
    <xf numFmtId="2" fontId="6" fillId="2" borderId="3" xfId="0" applyNumberFormat="1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2" fontId="2" fillId="2" borderId="24" xfId="0" applyNumberFormat="1" applyFont="1" applyFill="1" applyBorder="1" applyAlignment="1">
      <alignment horizontal="center" vertical="center"/>
    </xf>
    <xf numFmtId="2" fontId="2" fillId="2" borderId="11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8" xfId="0" applyNumberFormat="1" applyFont="1" applyFill="1" applyBorder="1" applyAlignment="1">
      <alignment horizontal="center" vertical="center"/>
    </xf>
    <xf numFmtId="0" fontId="2" fillId="2" borderId="29" xfId="0" applyNumberFormat="1" applyFont="1" applyFill="1" applyBorder="1" applyAlignment="1">
      <alignment horizontal="center" vertical="center"/>
    </xf>
    <xf numFmtId="2" fontId="2" fillId="2" borderId="20" xfId="0" applyNumberFormat="1" applyFont="1" applyFill="1" applyBorder="1" applyAlignment="1">
      <alignment horizontal="center" vertical="center"/>
    </xf>
    <xf numFmtId="2" fontId="2" fillId="2" borderId="38" xfId="0" applyNumberFormat="1" applyFont="1" applyFill="1" applyBorder="1" applyAlignment="1">
      <alignment horizontal="center" vertical="center"/>
    </xf>
    <xf numFmtId="16" fontId="2" fillId="2" borderId="12" xfId="0" applyNumberFormat="1" applyFont="1" applyFill="1" applyBorder="1" applyAlignment="1">
      <alignment horizontal="center"/>
    </xf>
    <xf numFmtId="16" fontId="2" fillId="2" borderId="13" xfId="0" applyNumberFormat="1" applyFont="1" applyFill="1" applyBorder="1" applyAlignment="1">
      <alignment horizontal="center"/>
    </xf>
    <xf numFmtId="16" fontId="2" fillId="5" borderId="12" xfId="0" applyNumberFormat="1" applyFont="1" applyFill="1" applyBorder="1" applyAlignment="1">
      <alignment horizontal="center"/>
    </xf>
    <xf numFmtId="16" fontId="2" fillId="5" borderId="13" xfId="0" applyNumberFormat="1" applyFont="1" applyFill="1" applyBorder="1" applyAlignment="1">
      <alignment horizontal="center"/>
    </xf>
    <xf numFmtId="16" fontId="2" fillId="5" borderId="14" xfId="0" applyNumberFormat="1" applyFont="1" applyFill="1" applyBorder="1" applyAlignment="1">
      <alignment horizontal="center"/>
    </xf>
    <xf numFmtId="16" fontId="2" fillId="6" borderId="13" xfId="0" applyNumberFormat="1" applyFont="1" applyFill="1" applyBorder="1" applyAlignment="1">
      <alignment horizontal="center"/>
    </xf>
    <xf numFmtId="16" fontId="2" fillId="4" borderId="12" xfId="0" applyNumberFormat="1" applyFont="1" applyFill="1" applyBorder="1" applyAlignment="1">
      <alignment horizontal="center"/>
    </xf>
    <xf numFmtId="16" fontId="2" fillId="4" borderId="13" xfId="0" applyNumberFormat="1" applyFont="1" applyFill="1" applyBorder="1" applyAlignment="1">
      <alignment horizontal="center"/>
    </xf>
    <xf numFmtId="16" fontId="2" fillId="4" borderId="14" xfId="0" applyNumberFormat="1" applyFont="1" applyFill="1" applyBorder="1" applyAlignment="1">
      <alignment horizontal="center"/>
    </xf>
    <xf numFmtId="16" fontId="2" fillId="7" borderId="13" xfId="0" applyNumberFormat="1" applyFont="1" applyFill="1" applyBorder="1" applyAlignment="1">
      <alignment horizontal="center"/>
    </xf>
    <xf numFmtId="16" fontId="2" fillId="7" borderId="14" xfId="0" applyNumberFormat="1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2" fontId="2" fillId="2" borderId="8" xfId="0" applyNumberFormat="1" applyFont="1" applyFill="1" applyBorder="1" applyAlignment="1">
      <alignment horizontal="center" vertical="center"/>
    </xf>
    <xf numFmtId="2" fontId="2" fillId="2" borderId="9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NumberFormat="1" applyFont="1" applyFill="1" applyBorder="1" applyAlignment="1">
      <alignment horizontal="center" vertical="center"/>
    </xf>
    <xf numFmtId="16" fontId="2" fillId="2" borderId="20" xfId="0" applyNumberFormat="1" applyFont="1" applyFill="1" applyBorder="1" applyAlignment="1">
      <alignment horizontal="center"/>
    </xf>
    <xf numFmtId="16" fontId="2" fillId="2" borderId="21" xfId="0" applyNumberFormat="1" applyFont="1" applyFill="1" applyBorder="1" applyAlignment="1">
      <alignment horizontal="center"/>
    </xf>
    <xf numFmtId="16" fontId="2" fillId="7" borderId="21" xfId="0" applyNumberFormat="1" applyFont="1" applyFill="1" applyBorder="1" applyAlignment="1">
      <alignment horizontal="center"/>
    </xf>
    <xf numFmtId="16" fontId="2" fillId="7" borderId="22" xfId="0" applyNumberFormat="1" applyFont="1" applyFill="1" applyBorder="1" applyAlignment="1">
      <alignment horizontal="center"/>
    </xf>
    <xf numFmtId="16" fontId="2" fillId="2" borderId="14" xfId="0" applyNumberFormat="1" applyFont="1" applyFill="1" applyBorder="1" applyAlignment="1">
      <alignment horizontal="center"/>
    </xf>
    <xf numFmtId="16" fontId="2" fillId="6" borderId="14" xfId="0" applyNumberFormat="1" applyFont="1" applyFill="1" applyBorder="1" applyAlignment="1">
      <alignment horizontal="center"/>
    </xf>
    <xf numFmtId="2" fontId="2" fillId="2" borderId="29" xfId="0" applyNumberFormat="1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/>
    </xf>
    <xf numFmtId="0" fontId="2" fillId="2" borderId="42" xfId="0" applyFont="1" applyFill="1" applyBorder="1" applyAlignment="1">
      <alignment horizontal="center"/>
    </xf>
    <xf numFmtId="0" fontId="2" fillId="2" borderId="37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6" xfId="0" applyNumberFormat="1" applyFont="1" applyFill="1" applyBorder="1" applyAlignment="1">
      <alignment horizontal="center" vertical="center"/>
    </xf>
    <xf numFmtId="2" fontId="2" fillId="2" borderId="46" xfId="0" applyNumberFormat="1" applyFont="1" applyFill="1" applyBorder="1" applyAlignment="1">
      <alignment horizontal="center" vertical="center"/>
    </xf>
    <xf numFmtId="2" fontId="2" fillId="2" borderId="37" xfId="0" applyNumberFormat="1" applyFont="1" applyFill="1" applyBorder="1" applyAlignment="1">
      <alignment horizontal="center" vertical="center"/>
    </xf>
    <xf numFmtId="16" fontId="2" fillId="5" borderId="20" xfId="0" applyNumberFormat="1" applyFont="1" applyFill="1" applyBorder="1" applyAlignment="1">
      <alignment horizontal="center"/>
    </xf>
    <xf numFmtId="16" fontId="2" fillId="5" borderId="21" xfId="0" applyNumberFormat="1" applyFont="1" applyFill="1" applyBorder="1" applyAlignment="1">
      <alignment horizontal="center"/>
    </xf>
    <xf numFmtId="16" fontId="2" fillId="5" borderId="22" xfId="0" applyNumberFormat="1" applyFont="1" applyFill="1" applyBorder="1" applyAlignment="1">
      <alignment horizontal="center"/>
    </xf>
    <xf numFmtId="16" fontId="2" fillId="6" borderId="21" xfId="0" applyNumberFormat="1" applyFont="1" applyFill="1" applyBorder="1" applyAlignment="1">
      <alignment horizontal="center"/>
    </xf>
    <xf numFmtId="16" fontId="2" fillId="4" borderId="20" xfId="0" applyNumberFormat="1" applyFont="1" applyFill="1" applyBorder="1" applyAlignment="1">
      <alignment horizontal="center"/>
    </xf>
    <xf numFmtId="16" fontId="2" fillId="4" borderId="21" xfId="0" applyNumberFormat="1" applyFont="1" applyFill="1" applyBorder="1" applyAlignment="1">
      <alignment horizontal="center"/>
    </xf>
    <xf numFmtId="16" fontId="2" fillId="4" borderId="22" xfId="0" applyNumberFormat="1" applyFont="1" applyFill="1" applyBorder="1" applyAlignment="1">
      <alignment horizontal="center"/>
    </xf>
    <xf numFmtId="16" fontId="2" fillId="13" borderId="21" xfId="0" applyNumberFormat="1" applyFont="1" applyFill="1" applyBorder="1" applyAlignment="1">
      <alignment horizontal="center"/>
    </xf>
    <xf numFmtId="16" fontId="2" fillId="13" borderId="22" xfId="0" applyNumberFormat="1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3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16" fontId="2" fillId="2" borderId="35" xfId="0" applyNumberFormat="1" applyFont="1" applyFill="1" applyBorder="1" applyAlignment="1">
      <alignment horizontal="center"/>
    </xf>
    <xf numFmtId="16" fontId="2" fillId="2" borderId="41" xfId="0" applyNumberFormat="1" applyFont="1" applyFill="1" applyBorder="1" applyAlignment="1">
      <alignment horizontal="center"/>
    </xf>
    <xf numFmtId="16" fontId="2" fillId="2" borderId="44" xfId="0" applyNumberFormat="1" applyFont="1" applyFill="1" applyBorder="1" applyAlignment="1">
      <alignment horizontal="center"/>
    </xf>
    <xf numFmtId="16" fontId="2" fillId="5" borderId="35" xfId="0" applyNumberFormat="1" applyFont="1" applyFill="1" applyBorder="1" applyAlignment="1">
      <alignment horizontal="center"/>
    </xf>
    <xf numFmtId="16" fontId="2" fillId="5" borderId="41" xfId="0" applyNumberFormat="1" applyFont="1" applyFill="1" applyBorder="1" applyAlignment="1">
      <alignment horizontal="center"/>
    </xf>
    <xf numFmtId="16" fontId="2" fillId="5" borderId="42" xfId="0" applyNumberFormat="1" applyFont="1" applyFill="1" applyBorder="1" applyAlignment="1">
      <alignment horizontal="center"/>
    </xf>
    <xf numFmtId="16" fontId="2" fillId="6" borderId="45" xfId="0" applyNumberFormat="1" applyFont="1" applyFill="1" applyBorder="1" applyAlignment="1">
      <alignment horizontal="center"/>
    </xf>
    <xf numFmtId="16" fontId="2" fillId="6" borderId="41" xfId="0" applyNumberFormat="1" applyFont="1" applyFill="1" applyBorder="1" applyAlignment="1">
      <alignment horizontal="center"/>
    </xf>
    <xf numFmtId="16" fontId="2" fillId="6" borderId="44" xfId="0" applyNumberFormat="1" applyFont="1" applyFill="1" applyBorder="1" applyAlignment="1">
      <alignment horizontal="center"/>
    </xf>
    <xf numFmtId="16" fontId="2" fillId="4" borderId="35" xfId="0" applyNumberFormat="1" applyFont="1" applyFill="1" applyBorder="1" applyAlignment="1">
      <alignment horizontal="center"/>
    </xf>
    <xf numFmtId="16" fontId="2" fillId="4" borderId="41" xfId="0" applyNumberFormat="1" applyFont="1" applyFill="1" applyBorder="1" applyAlignment="1">
      <alignment horizontal="center"/>
    </xf>
    <xf numFmtId="16" fontId="2" fillId="4" borderId="42" xfId="0" applyNumberFormat="1" applyFont="1" applyFill="1" applyBorder="1" applyAlignment="1">
      <alignment horizontal="center"/>
    </xf>
    <xf numFmtId="16" fontId="2" fillId="13" borderId="45" xfId="0" applyNumberFormat="1" applyFont="1" applyFill="1" applyBorder="1" applyAlignment="1">
      <alignment horizontal="center"/>
    </xf>
    <xf numFmtId="16" fontId="2" fillId="13" borderId="41" xfId="0" applyNumberFormat="1" applyFont="1" applyFill="1" applyBorder="1" applyAlignment="1">
      <alignment horizontal="center"/>
    </xf>
    <xf numFmtId="16" fontId="2" fillId="13" borderId="42" xfId="0" applyNumberFormat="1" applyFont="1" applyFill="1" applyBorder="1" applyAlignment="1">
      <alignment horizontal="center"/>
    </xf>
    <xf numFmtId="0" fontId="2" fillId="2" borderId="24" xfId="0" applyNumberFormat="1" applyFont="1" applyFill="1" applyBorder="1" applyAlignment="1">
      <alignment horizontal="center" vertical="center"/>
    </xf>
    <xf numFmtId="0" fontId="2" fillId="2" borderId="11" xfId="0" applyNumberFormat="1" applyFont="1" applyFill="1" applyBorder="1" applyAlignment="1">
      <alignment horizontal="center" vertical="center"/>
    </xf>
    <xf numFmtId="16" fontId="2" fillId="7" borderId="45" xfId="0" applyNumberFormat="1" applyFont="1" applyFill="1" applyBorder="1" applyAlignment="1">
      <alignment horizontal="center"/>
    </xf>
    <xf numFmtId="16" fontId="2" fillId="7" borderId="41" xfId="0" applyNumberFormat="1" applyFont="1" applyFill="1" applyBorder="1" applyAlignment="1">
      <alignment horizontal="center"/>
    </xf>
    <xf numFmtId="16" fontId="2" fillId="7" borderId="42" xfId="0" applyNumberFormat="1" applyFont="1" applyFill="1" applyBorder="1" applyAlignment="1">
      <alignment horizontal="center"/>
    </xf>
    <xf numFmtId="9" fontId="2" fillId="2" borderId="41" xfId="1" applyFont="1" applyFill="1" applyBorder="1" applyAlignment="1">
      <alignment horizontal="center" vertical="center"/>
    </xf>
    <xf numFmtId="9" fontId="2" fillId="2" borderId="5" xfId="1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4" fillId="2" borderId="55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1" xfId="0" applyNumberFormat="1" applyFont="1" applyFill="1" applyBorder="1" applyAlignment="1">
      <alignment horizontal="center" vertical="center"/>
    </xf>
    <xf numFmtId="0" fontId="2" fillId="2" borderId="5" xfId="0" applyNumberFormat="1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3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/>
    </xf>
    <xf numFmtId="0" fontId="8" fillId="2" borderId="39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2" borderId="41" xfId="0" applyFont="1" applyFill="1" applyBorder="1" applyAlignment="1">
      <alignment horizontal="center"/>
    </xf>
    <xf numFmtId="0" fontId="2" fillId="2" borderId="32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7" xfId="0" applyFont="1" applyFill="1" applyBorder="1" applyAlignment="1">
      <alignment horizontal="center" vertical="center"/>
    </xf>
    <xf numFmtId="9" fontId="2" fillId="2" borderId="25" xfId="1" applyFont="1" applyFill="1" applyBorder="1" applyAlignment="1">
      <alignment horizontal="center" vertical="center"/>
    </xf>
    <xf numFmtId="9" fontId="2" fillId="2" borderId="43" xfId="1" applyFont="1" applyFill="1" applyBorder="1" applyAlignment="1">
      <alignment horizontal="center" vertical="center"/>
    </xf>
    <xf numFmtId="2" fontId="2" fillId="2" borderId="42" xfId="0" applyNumberFormat="1" applyFont="1" applyFill="1" applyBorder="1" applyAlignment="1">
      <alignment horizontal="center" vertical="center"/>
    </xf>
    <xf numFmtId="2" fontId="2" fillId="2" borderId="27" xfId="0" applyNumberFormat="1" applyFont="1" applyFill="1" applyBorder="1" applyAlignment="1">
      <alignment horizontal="center" vertical="center"/>
    </xf>
  </cellXfs>
  <cellStyles count="8">
    <cellStyle name="40% - Ênfase2" xfId="2" builtinId="35"/>
    <cellStyle name="40% - Ênfase3" xfId="3" builtinId="39"/>
    <cellStyle name="60% - Ênfase2" xfId="7" builtinId="36"/>
    <cellStyle name="60% - Ênfase3" xfId="4" builtinId="40"/>
    <cellStyle name="60% - Ênfase4" xfId="5" builtinId="44"/>
    <cellStyle name="Normal" xfId="0" builtinId="0"/>
    <cellStyle name="Porcentagem" xfId="1" builtinId="5"/>
    <cellStyle name="Vírgula" xfId="6" builtinId="3"/>
  </cellStyles>
  <dxfs count="113"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theme="5" tint="0.39994506668294322"/>
        </patternFill>
      </fill>
    </dxf>
    <dxf>
      <font>
        <b/>
        <i val="0"/>
        <color theme="0"/>
      </font>
      <fill>
        <patternFill>
          <bgColor theme="0" tint="-0.24994659260841701"/>
        </patternFill>
      </fill>
    </dxf>
    <dxf>
      <font>
        <b/>
        <i val="0"/>
        <color theme="0"/>
      </font>
      <fill>
        <patternFill>
          <fgColor auto="1"/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423221</xdr:colOff>
      <xdr:row>0</xdr:row>
      <xdr:rowOff>0</xdr:rowOff>
    </xdr:from>
    <xdr:to>
      <xdr:col>11</xdr:col>
      <xdr:colOff>216693</xdr:colOff>
      <xdr:row>1</xdr:row>
      <xdr:rowOff>171245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0955694-2278-41EC-B89D-46D2C04B6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3096" y="0"/>
          <a:ext cx="400691" cy="361745"/>
        </a:xfrm>
        <a:prstGeom prst="rect">
          <a:avLst/>
        </a:prstGeom>
      </xdr:spPr>
    </xdr:pic>
    <xdr:clientData/>
  </xdr:twoCellAnchor>
  <xdr:twoCellAnchor editAs="oneCell">
    <xdr:from>
      <xdr:col>22</xdr:col>
      <xdr:colOff>158903</xdr:colOff>
      <xdr:row>0</xdr:row>
      <xdr:rowOff>27115</xdr:rowOff>
    </xdr:from>
    <xdr:to>
      <xdr:col>22</xdr:col>
      <xdr:colOff>559594</xdr:colOff>
      <xdr:row>2</xdr:row>
      <xdr:rowOff>7860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0D343D3-64C6-47B4-BA86-8D949A9B0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3747" y="27115"/>
          <a:ext cx="400691" cy="361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327971</xdr:colOff>
      <xdr:row>0</xdr:row>
      <xdr:rowOff>17590</xdr:rowOff>
    </xdr:from>
    <xdr:to>
      <xdr:col>11</xdr:col>
      <xdr:colOff>121443</xdr:colOff>
      <xdr:row>1</xdr:row>
      <xdr:rowOff>188835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D482265-5584-4A32-A6AF-84AA1CF9A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7846" y="17590"/>
          <a:ext cx="400691" cy="361745"/>
        </a:xfrm>
        <a:prstGeom prst="rect">
          <a:avLst/>
        </a:prstGeom>
      </xdr:spPr>
    </xdr:pic>
    <xdr:clientData/>
  </xdr:twoCellAnchor>
  <xdr:twoCellAnchor editAs="oneCell">
    <xdr:from>
      <xdr:col>22</xdr:col>
      <xdr:colOff>194622</xdr:colOff>
      <xdr:row>0</xdr:row>
      <xdr:rowOff>3302</xdr:rowOff>
    </xdr:from>
    <xdr:to>
      <xdr:col>22</xdr:col>
      <xdr:colOff>595313</xdr:colOff>
      <xdr:row>1</xdr:row>
      <xdr:rowOff>174547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7EAB2AC-E689-40EF-868B-FF9005EDF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79466" y="3302"/>
          <a:ext cx="400691" cy="3617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256534</xdr:colOff>
      <xdr:row>0</xdr:row>
      <xdr:rowOff>17590</xdr:rowOff>
    </xdr:from>
    <xdr:to>
      <xdr:col>11</xdr:col>
      <xdr:colOff>50006</xdr:colOff>
      <xdr:row>1</xdr:row>
      <xdr:rowOff>188835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9AC6AF3-D6FF-45E5-887B-7508782BD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76409" y="17590"/>
          <a:ext cx="400691" cy="361745"/>
        </a:xfrm>
        <a:prstGeom prst="rect">
          <a:avLst/>
        </a:prstGeom>
      </xdr:spPr>
    </xdr:pic>
    <xdr:clientData/>
  </xdr:twoCellAnchor>
  <xdr:twoCellAnchor editAs="oneCell">
    <xdr:from>
      <xdr:col>22</xdr:col>
      <xdr:colOff>254153</xdr:colOff>
      <xdr:row>0</xdr:row>
      <xdr:rowOff>27115</xdr:rowOff>
    </xdr:from>
    <xdr:to>
      <xdr:col>23</xdr:col>
      <xdr:colOff>47625</xdr:colOff>
      <xdr:row>2</xdr:row>
      <xdr:rowOff>7860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DDE5342-093D-44FA-8997-1C092C85C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38997" y="27115"/>
          <a:ext cx="400691" cy="3617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350462</xdr:colOff>
      <xdr:row>0</xdr:row>
      <xdr:rowOff>17590</xdr:rowOff>
    </xdr:from>
    <xdr:to>
      <xdr:col>11</xdr:col>
      <xdr:colOff>143934</xdr:colOff>
      <xdr:row>1</xdr:row>
      <xdr:rowOff>188835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6A291F3-32E5-4867-A94E-63475583D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17962" y="17590"/>
          <a:ext cx="407305" cy="361745"/>
        </a:xfrm>
        <a:prstGeom prst="rect">
          <a:avLst/>
        </a:prstGeom>
      </xdr:spPr>
    </xdr:pic>
    <xdr:clientData/>
  </xdr:twoCellAnchor>
  <xdr:twoCellAnchor editAs="oneCell">
    <xdr:from>
      <xdr:col>22</xdr:col>
      <xdr:colOff>111278</xdr:colOff>
      <xdr:row>0</xdr:row>
      <xdr:rowOff>27115</xdr:rowOff>
    </xdr:from>
    <xdr:to>
      <xdr:col>22</xdr:col>
      <xdr:colOff>518583</xdr:colOff>
      <xdr:row>2</xdr:row>
      <xdr:rowOff>7860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A817176-8301-454A-8CA3-19AB8D710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3278" y="27115"/>
          <a:ext cx="407305" cy="36174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276378</xdr:colOff>
      <xdr:row>0</xdr:row>
      <xdr:rowOff>28173</xdr:rowOff>
    </xdr:from>
    <xdr:to>
      <xdr:col>11</xdr:col>
      <xdr:colOff>69850</xdr:colOff>
      <xdr:row>2</xdr:row>
      <xdr:rowOff>8918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F750050-F8A2-4020-A4DF-F3D28938F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43878" y="28173"/>
          <a:ext cx="407305" cy="361745"/>
        </a:xfrm>
        <a:prstGeom prst="rect">
          <a:avLst/>
        </a:prstGeom>
      </xdr:spPr>
    </xdr:pic>
    <xdr:clientData/>
  </xdr:twoCellAnchor>
  <xdr:twoCellAnchor editAs="oneCell">
    <xdr:from>
      <xdr:col>22</xdr:col>
      <xdr:colOff>160228</xdr:colOff>
      <xdr:row>0</xdr:row>
      <xdr:rowOff>27115</xdr:rowOff>
    </xdr:from>
    <xdr:to>
      <xdr:col>22</xdr:col>
      <xdr:colOff>567533</xdr:colOff>
      <xdr:row>2</xdr:row>
      <xdr:rowOff>7860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01E0EA4-87F6-4732-8CC2-2AE19C489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45072" y="27115"/>
          <a:ext cx="407305" cy="36174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423222</xdr:colOff>
      <xdr:row>0</xdr:row>
      <xdr:rowOff>41402</xdr:rowOff>
    </xdr:from>
    <xdr:to>
      <xdr:col>11</xdr:col>
      <xdr:colOff>216694</xdr:colOff>
      <xdr:row>2</xdr:row>
      <xdr:rowOff>22147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9F1A2FF-2825-41A7-91AE-526BD5E92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3097" y="41402"/>
          <a:ext cx="400691" cy="361745"/>
        </a:xfrm>
        <a:prstGeom prst="rect">
          <a:avLst/>
        </a:prstGeom>
      </xdr:spPr>
    </xdr:pic>
    <xdr:clientData/>
  </xdr:twoCellAnchor>
  <xdr:twoCellAnchor editAs="oneCell">
    <xdr:from>
      <xdr:col>22</xdr:col>
      <xdr:colOff>277966</xdr:colOff>
      <xdr:row>0</xdr:row>
      <xdr:rowOff>27115</xdr:rowOff>
    </xdr:from>
    <xdr:to>
      <xdr:col>23</xdr:col>
      <xdr:colOff>71438</xdr:colOff>
      <xdr:row>2</xdr:row>
      <xdr:rowOff>7860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B1E5CCF-D336-44B5-A605-070088EA6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62810" y="27115"/>
          <a:ext cx="400691" cy="36174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296222</xdr:colOff>
      <xdr:row>0</xdr:row>
      <xdr:rowOff>41402</xdr:rowOff>
    </xdr:from>
    <xdr:to>
      <xdr:col>13</xdr:col>
      <xdr:colOff>89694</xdr:colOff>
      <xdr:row>2</xdr:row>
      <xdr:rowOff>22147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75A74A7-9ABA-4055-8B0C-3F7D4AAE1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7122" y="41402"/>
          <a:ext cx="403072" cy="361745"/>
        </a:xfrm>
        <a:prstGeom prst="rect">
          <a:avLst/>
        </a:prstGeom>
      </xdr:spPr>
    </xdr:pic>
    <xdr:clientData/>
  </xdr:twoCellAnchor>
  <xdr:twoCellAnchor editAs="oneCell">
    <xdr:from>
      <xdr:col>21</xdr:col>
      <xdr:colOff>391473</xdr:colOff>
      <xdr:row>0</xdr:row>
      <xdr:rowOff>35719</xdr:rowOff>
    </xdr:from>
    <xdr:to>
      <xdr:col>22</xdr:col>
      <xdr:colOff>187326</xdr:colOff>
      <xdr:row>2</xdr:row>
      <xdr:rowOff>16464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7F5BE7C-6249-44B0-9FBD-6DB991A8DE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97973" y="35719"/>
          <a:ext cx="403072" cy="36174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296222</xdr:colOff>
      <xdr:row>0</xdr:row>
      <xdr:rowOff>41402</xdr:rowOff>
    </xdr:from>
    <xdr:to>
      <xdr:col>13</xdr:col>
      <xdr:colOff>89694</xdr:colOff>
      <xdr:row>2</xdr:row>
      <xdr:rowOff>22147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B3E670-7D43-4F9E-AEBB-9985ACB61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947" y="41402"/>
          <a:ext cx="403072" cy="361745"/>
        </a:xfrm>
        <a:prstGeom prst="rect">
          <a:avLst/>
        </a:prstGeom>
      </xdr:spPr>
    </xdr:pic>
    <xdr:clientData/>
  </xdr:twoCellAnchor>
  <xdr:twoCellAnchor editAs="oneCell">
    <xdr:from>
      <xdr:col>21</xdr:col>
      <xdr:colOff>391473</xdr:colOff>
      <xdr:row>0</xdr:row>
      <xdr:rowOff>35719</xdr:rowOff>
    </xdr:from>
    <xdr:to>
      <xdr:col>22</xdr:col>
      <xdr:colOff>187326</xdr:colOff>
      <xdr:row>2</xdr:row>
      <xdr:rowOff>16464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07B5CD-1D5F-4EE7-B547-729E44908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5598" y="35719"/>
          <a:ext cx="405453" cy="36174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296222</xdr:colOff>
      <xdr:row>0</xdr:row>
      <xdr:rowOff>41402</xdr:rowOff>
    </xdr:from>
    <xdr:to>
      <xdr:col>13</xdr:col>
      <xdr:colOff>89694</xdr:colOff>
      <xdr:row>2</xdr:row>
      <xdr:rowOff>22147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8AC4600-666C-40AC-BF0E-B6D4CD1CC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947" y="41402"/>
          <a:ext cx="403072" cy="361745"/>
        </a:xfrm>
        <a:prstGeom prst="rect">
          <a:avLst/>
        </a:prstGeom>
      </xdr:spPr>
    </xdr:pic>
    <xdr:clientData/>
  </xdr:twoCellAnchor>
  <xdr:twoCellAnchor editAs="oneCell">
    <xdr:from>
      <xdr:col>21</xdr:col>
      <xdr:colOff>391473</xdr:colOff>
      <xdr:row>0</xdr:row>
      <xdr:rowOff>35719</xdr:rowOff>
    </xdr:from>
    <xdr:to>
      <xdr:col>22</xdr:col>
      <xdr:colOff>187326</xdr:colOff>
      <xdr:row>2</xdr:row>
      <xdr:rowOff>16464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496972B-CA3E-4AD3-9370-AD9ED256D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5598" y="35719"/>
          <a:ext cx="405453" cy="3617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296222</xdr:colOff>
      <xdr:row>0</xdr:row>
      <xdr:rowOff>41402</xdr:rowOff>
    </xdr:from>
    <xdr:to>
      <xdr:col>13</xdr:col>
      <xdr:colOff>89694</xdr:colOff>
      <xdr:row>2</xdr:row>
      <xdr:rowOff>22147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E88EB0-8333-4290-B877-BD978C78A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947" y="41402"/>
          <a:ext cx="403072" cy="361745"/>
        </a:xfrm>
        <a:prstGeom prst="rect">
          <a:avLst/>
        </a:prstGeom>
      </xdr:spPr>
    </xdr:pic>
    <xdr:clientData/>
  </xdr:twoCellAnchor>
  <xdr:twoCellAnchor editAs="oneCell">
    <xdr:from>
      <xdr:col>21</xdr:col>
      <xdr:colOff>391473</xdr:colOff>
      <xdr:row>0</xdr:row>
      <xdr:rowOff>35719</xdr:rowOff>
    </xdr:from>
    <xdr:to>
      <xdr:col>22</xdr:col>
      <xdr:colOff>187326</xdr:colOff>
      <xdr:row>2</xdr:row>
      <xdr:rowOff>16464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B323FE3C-8F11-467B-9D6F-EB5F9F0F0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5598" y="35719"/>
          <a:ext cx="405453" cy="36174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296222</xdr:colOff>
      <xdr:row>0</xdr:row>
      <xdr:rowOff>41402</xdr:rowOff>
    </xdr:from>
    <xdr:to>
      <xdr:col>13</xdr:col>
      <xdr:colOff>89694</xdr:colOff>
      <xdr:row>2</xdr:row>
      <xdr:rowOff>22147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7B3093-3F7F-4E19-92DB-26EE3E37B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947" y="41402"/>
          <a:ext cx="403072" cy="361745"/>
        </a:xfrm>
        <a:prstGeom prst="rect">
          <a:avLst/>
        </a:prstGeom>
      </xdr:spPr>
    </xdr:pic>
    <xdr:clientData/>
  </xdr:twoCellAnchor>
  <xdr:twoCellAnchor editAs="oneCell">
    <xdr:from>
      <xdr:col>21</xdr:col>
      <xdr:colOff>391473</xdr:colOff>
      <xdr:row>0</xdr:row>
      <xdr:rowOff>35719</xdr:rowOff>
    </xdr:from>
    <xdr:to>
      <xdr:col>22</xdr:col>
      <xdr:colOff>187326</xdr:colOff>
      <xdr:row>2</xdr:row>
      <xdr:rowOff>16464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BFA922F-535C-4B8E-B3BF-A30719423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5598" y="35719"/>
          <a:ext cx="405453" cy="36174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296222</xdr:colOff>
      <xdr:row>0</xdr:row>
      <xdr:rowOff>41402</xdr:rowOff>
    </xdr:from>
    <xdr:to>
      <xdr:col>13</xdr:col>
      <xdr:colOff>89694</xdr:colOff>
      <xdr:row>2</xdr:row>
      <xdr:rowOff>22147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63E4F4C-33F0-4B27-9FA6-4B5018ABF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947" y="41402"/>
          <a:ext cx="403072" cy="361745"/>
        </a:xfrm>
        <a:prstGeom prst="rect">
          <a:avLst/>
        </a:prstGeom>
      </xdr:spPr>
    </xdr:pic>
    <xdr:clientData/>
  </xdr:twoCellAnchor>
  <xdr:twoCellAnchor editAs="oneCell">
    <xdr:from>
      <xdr:col>21</xdr:col>
      <xdr:colOff>189066</xdr:colOff>
      <xdr:row>0</xdr:row>
      <xdr:rowOff>0</xdr:rowOff>
    </xdr:from>
    <xdr:to>
      <xdr:col>21</xdr:col>
      <xdr:colOff>592138</xdr:colOff>
      <xdr:row>1</xdr:row>
      <xdr:rowOff>171245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CDC357-7F84-45DE-BA4C-6DD51A6D9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43191" y="0"/>
          <a:ext cx="403072" cy="36174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105833</xdr:colOff>
      <xdr:row>0</xdr:row>
      <xdr:rowOff>17590</xdr:rowOff>
    </xdr:from>
    <xdr:to>
      <xdr:col>1</xdr:col>
      <xdr:colOff>513138</xdr:colOff>
      <xdr:row>1</xdr:row>
      <xdr:rowOff>188835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BD9EDC3-07F2-4F66-BB33-CAFDE2D05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083" y="17590"/>
          <a:ext cx="407305" cy="361745"/>
        </a:xfrm>
        <a:prstGeom prst="rect">
          <a:avLst/>
        </a:prstGeom>
      </xdr:spPr>
    </xdr:pic>
    <xdr:clientData/>
  </xdr:twoCellAnchor>
  <xdr:twoCellAnchor editAs="oneCell">
    <xdr:from>
      <xdr:col>9</xdr:col>
      <xdr:colOff>508001</xdr:colOff>
      <xdr:row>0</xdr:row>
      <xdr:rowOff>5948</xdr:rowOff>
    </xdr:from>
    <xdr:to>
      <xdr:col>9</xdr:col>
      <xdr:colOff>901700</xdr:colOff>
      <xdr:row>1</xdr:row>
      <xdr:rowOff>177193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3DA5EC9-6104-4997-94AE-A6199EE5A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57334" y="5948"/>
          <a:ext cx="407305" cy="3617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D5D95-052C-4937-AB47-EAB5D5D93E1F}">
  <sheetPr codeName="Planilha3"/>
  <dimension ref="A1:AG57"/>
  <sheetViews>
    <sheetView showGridLines="0" tabSelected="1" zoomScale="80" zoomScaleNormal="80" workbookViewId="0">
      <pane ySplit="4" topLeftCell="A5" activePane="bottomLeft" state="frozen"/>
      <selection activeCell="B47" sqref="B47"/>
      <selection pane="bottomLeft" activeCell="B47" sqref="B47"/>
    </sheetView>
  </sheetViews>
  <sheetFormatPr defaultRowHeight="15" x14ac:dyDescent="0.25"/>
  <cols>
    <col min="1" max="1" width="7.140625" customWidth="1"/>
    <col min="2" max="2" width="31.85546875" style="6" customWidth="1"/>
    <col min="3" max="3" width="9.140625" customWidth="1"/>
    <col min="6" max="7" width="9.140625" style="5"/>
    <col min="11" max="12" width="9.140625" style="5"/>
    <col min="16" max="17" width="9.140625" style="5"/>
    <col min="21" max="27" width="9.140625" style="5"/>
    <col min="28" max="28" width="14.7109375" customWidth="1"/>
    <col min="29" max="29" width="14.5703125" style="2" customWidth="1"/>
    <col min="30" max="30" width="13.85546875" style="2" customWidth="1"/>
    <col min="31" max="32" width="7.140625" style="2" customWidth="1"/>
    <col min="33" max="33" width="13.5703125" style="5" customWidth="1"/>
  </cols>
  <sheetData>
    <row r="1" spans="1:33" ht="15" customHeight="1" x14ac:dyDescent="0.25">
      <c r="B1" s="271" t="s">
        <v>42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</row>
    <row r="2" spans="1:33" ht="15" customHeight="1" thickBot="1" x14ac:dyDescent="0.3">
      <c r="A2" s="1"/>
      <c r="B2" s="274"/>
      <c r="C2" s="275"/>
      <c r="D2" s="275"/>
      <c r="E2" s="275"/>
      <c r="F2" s="275"/>
      <c r="G2" s="275"/>
      <c r="H2" s="275"/>
      <c r="I2" s="275"/>
      <c r="J2" s="275"/>
      <c r="K2" s="275"/>
      <c r="L2" s="275"/>
      <c r="M2" s="275"/>
      <c r="N2" s="275"/>
      <c r="O2" s="275"/>
      <c r="P2" s="275"/>
      <c r="Q2" s="275"/>
      <c r="R2" s="275"/>
      <c r="S2" s="275"/>
      <c r="T2" s="275"/>
      <c r="U2" s="275"/>
      <c r="V2" s="275"/>
      <c r="W2" s="275"/>
      <c r="X2" s="275"/>
      <c r="Y2" s="275"/>
      <c r="Z2" s="275"/>
      <c r="AA2" s="275"/>
      <c r="AB2" s="275"/>
      <c r="AC2" s="275"/>
      <c r="AD2" s="275"/>
      <c r="AE2" s="275"/>
      <c r="AF2" s="275"/>
      <c r="AG2" s="275"/>
    </row>
    <row r="3" spans="1:33" x14ac:dyDescent="0.25">
      <c r="B3" s="279" t="s">
        <v>0</v>
      </c>
      <c r="C3" s="285">
        <v>45664</v>
      </c>
      <c r="D3" s="286"/>
      <c r="E3" s="286"/>
      <c r="F3" s="286"/>
      <c r="G3" s="286"/>
      <c r="H3" s="287">
        <f>C3+7</f>
        <v>45671</v>
      </c>
      <c r="I3" s="288"/>
      <c r="J3" s="288"/>
      <c r="K3" s="288"/>
      <c r="L3" s="289"/>
      <c r="M3" s="290">
        <f>H3+7</f>
        <v>45678</v>
      </c>
      <c r="N3" s="290"/>
      <c r="O3" s="290"/>
      <c r="P3" s="290"/>
      <c r="Q3" s="290"/>
      <c r="R3" s="291">
        <f>M3+7</f>
        <v>45685</v>
      </c>
      <c r="S3" s="292"/>
      <c r="T3" s="292"/>
      <c r="U3" s="292"/>
      <c r="V3" s="293"/>
      <c r="W3" s="294" t="s">
        <v>41</v>
      </c>
      <c r="X3" s="294"/>
      <c r="Y3" s="294"/>
      <c r="Z3" s="294"/>
      <c r="AA3" s="295"/>
      <c r="AB3" s="279" t="s">
        <v>45</v>
      </c>
      <c r="AC3" s="281" t="s">
        <v>46</v>
      </c>
      <c r="AD3" s="281" t="s">
        <v>47</v>
      </c>
      <c r="AE3" s="281" t="s">
        <v>72</v>
      </c>
      <c r="AF3" s="281" t="s">
        <v>78</v>
      </c>
      <c r="AG3" s="283" t="s">
        <v>48</v>
      </c>
    </row>
    <row r="4" spans="1:33" ht="15.75" thickBot="1" x14ac:dyDescent="0.3">
      <c r="B4" s="280"/>
      <c r="C4" s="191" t="s">
        <v>49</v>
      </c>
      <c r="D4" s="192" t="s">
        <v>43</v>
      </c>
      <c r="E4" s="192" t="s">
        <v>2</v>
      </c>
      <c r="F4" s="193" t="s">
        <v>40</v>
      </c>
      <c r="G4" s="239"/>
      <c r="H4" s="195" t="s">
        <v>49</v>
      </c>
      <c r="I4" s="196" t="s">
        <v>43</v>
      </c>
      <c r="J4" s="196" t="s">
        <v>2</v>
      </c>
      <c r="K4" s="197" t="s">
        <v>40</v>
      </c>
      <c r="L4" s="198"/>
      <c r="M4" s="214" t="s">
        <v>49</v>
      </c>
      <c r="N4" s="199" t="s">
        <v>44</v>
      </c>
      <c r="O4" s="199" t="s">
        <v>2</v>
      </c>
      <c r="P4" s="200" t="s">
        <v>40</v>
      </c>
      <c r="Q4" s="215"/>
      <c r="R4" s="202" t="s">
        <v>49</v>
      </c>
      <c r="S4" s="203" t="s">
        <v>43</v>
      </c>
      <c r="T4" s="203" t="s">
        <v>2</v>
      </c>
      <c r="U4" s="204" t="s">
        <v>40</v>
      </c>
      <c r="V4" s="205"/>
      <c r="W4" s="258" t="s">
        <v>49</v>
      </c>
      <c r="X4" s="207" t="s">
        <v>43</v>
      </c>
      <c r="Y4" s="207" t="s">
        <v>2</v>
      </c>
      <c r="Z4" s="207" t="s">
        <v>40</v>
      </c>
      <c r="AA4" s="208"/>
      <c r="AB4" s="280"/>
      <c r="AC4" s="282"/>
      <c r="AD4" s="282"/>
      <c r="AE4" s="282"/>
      <c r="AF4" s="282"/>
      <c r="AG4" s="284"/>
    </row>
    <row r="5" spans="1:33" x14ac:dyDescent="0.25">
      <c r="B5" s="236" t="s">
        <v>3</v>
      </c>
      <c r="C5" s="165"/>
      <c r="D5" s="186"/>
      <c r="E5" s="186"/>
      <c r="F5" s="224"/>
      <c r="G5" s="190"/>
      <c r="H5" s="165" t="s">
        <v>50</v>
      </c>
      <c r="I5" s="186">
        <v>3</v>
      </c>
      <c r="J5" s="186">
        <v>2</v>
      </c>
      <c r="K5" s="224">
        <v>7.38</v>
      </c>
      <c r="L5" s="188"/>
      <c r="M5" s="235" t="s">
        <v>50</v>
      </c>
      <c r="N5" s="186">
        <v>2</v>
      </c>
      <c r="O5" s="186">
        <v>0</v>
      </c>
      <c r="P5" s="224">
        <v>6.06</v>
      </c>
      <c r="Q5" s="190"/>
      <c r="R5" s="165" t="s">
        <v>50</v>
      </c>
      <c r="S5" s="186">
        <v>1</v>
      </c>
      <c r="T5" s="186">
        <v>0</v>
      </c>
      <c r="U5" s="224">
        <v>5.26</v>
      </c>
      <c r="V5" s="188"/>
      <c r="W5" s="260"/>
      <c r="X5" s="224"/>
      <c r="Y5" s="224"/>
      <c r="Z5" s="224"/>
      <c r="AA5" s="188"/>
      <c r="AB5" s="26">
        <f>COUNTIF(C5:Z5,"P")</f>
        <v>3</v>
      </c>
      <c r="AC5" s="27">
        <f>SUM(D5,I5,N5,S5,X5)</f>
        <v>6</v>
      </c>
      <c r="AD5" s="27">
        <f>SUM(E5,J5,O5,T5,Y5)</f>
        <v>2</v>
      </c>
      <c r="AE5" s="27">
        <f>SUM(AC5+AD5)</f>
        <v>8</v>
      </c>
      <c r="AF5" s="27">
        <f>COUNTIF(G5:AA5,"F")</f>
        <v>0</v>
      </c>
      <c r="AG5" s="28">
        <f t="shared" ref="AG5:AG46" si="0">IFERROR(AVERAGE(F5,K5,P5,U5,Z5),"-")</f>
        <v>6.2333333333333334</v>
      </c>
    </row>
    <row r="6" spans="1:33" x14ac:dyDescent="0.25">
      <c r="B6" s="236" t="s">
        <v>4</v>
      </c>
      <c r="C6" s="9" t="s">
        <v>50</v>
      </c>
      <c r="D6" s="159">
        <v>0</v>
      </c>
      <c r="E6" s="159">
        <v>0</v>
      </c>
      <c r="F6" s="4"/>
      <c r="G6" s="37" t="s">
        <v>76</v>
      </c>
      <c r="H6" s="9" t="s">
        <v>50</v>
      </c>
      <c r="I6" s="159">
        <v>0</v>
      </c>
      <c r="J6" s="159">
        <v>1</v>
      </c>
      <c r="K6" s="4">
        <v>4.2</v>
      </c>
      <c r="L6" s="10"/>
      <c r="M6" s="23" t="s">
        <v>50</v>
      </c>
      <c r="N6" s="159">
        <v>1</v>
      </c>
      <c r="O6" s="159">
        <v>0</v>
      </c>
      <c r="P6" s="4">
        <v>5.88</v>
      </c>
      <c r="Q6" s="37" t="s">
        <v>76</v>
      </c>
      <c r="R6" s="9" t="s">
        <v>50</v>
      </c>
      <c r="S6" s="159">
        <v>0</v>
      </c>
      <c r="T6" s="159">
        <v>1</v>
      </c>
      <c r="U6" s="4">
        <v>4.6399999999999997</v>
      </c>
      <c r="V6" s="10"/>
      <c r="W6" s="259"/>
      <c r="X6" s="4"/>
      <c r="Y6" s="4"/>
      <c r="Z6" s="4"/>
      <c r="AA6" s="10"/>
      <c r="AB6" s="26">
        <f t="shared" ref="AB6:AB46" si="1">COUNTIF(C6:Z6,"P")</f>
        <v>4</v>
      </c>
      <c r="AC6" s="27">
        <f t="shared" ref="AC6:AC48" si="2">SUM(D6,I6,N6,S6,X6)</f>
        <v>1</v>
      </c>
      <c r="AD6" s="17">
        <f t="shared" ref="AD6:AD46" si="3">SUM(E6,J6,O6,T6,Y6)</f>
        <v>2</v>
      </c>
      <c r="AE6" s="27">
        <f t="shared" ref="AE6:AE46" si="4">SUM(AC6+AD6)</f>
        <v>3</v>
      </c>
      <c r="AF6" s="27">
        <f t="shared" ref="AF6:AF49" si="5">COUNTIF(G6:AA6,"F")</f>
        <v>2</v>
      </c>
      <c r="AG6" s="19">
        <f t="shared" si="0"/>
        <v>4.9066666666666663</v>
      </c>
    </row>
    <row r="7" spans="1:33" x14ac:dyDescent="0.25">
      <c r="B7" s="236" t="s">
        <v>5</v>
      </c>
      <c r="C7" s="9"/>
      <c r="D7" s="159"/>
      <c r="E7" s="159"/>
      <c r="F7" s="4"/>
      <c r="G7" s="37"/>
      <c r="H7" s="9"/>
      <c r="I7" s="159"/>
      <c r="J7" s="159"/>
      <c r="K7" s="4"/>
      <c r="L7" s="10"/>
      <c r="M7" s="23"/>
      <c r="N7" s="159"/>
      <c r="O7" s="159"/>
      <c r="P7" s="4"/>
      <c r="Q7" s="37"/>
      <c r="R7" s="9"/>
      <c r="S7" s="159"/>
      <c r="T7" s="159"/>
      <c r="U7" s="4"/>
      <c r="V7" s="10"/>
      <c r="W7" s="259"/>
      <c r="X7" s="4"/>
      <c r="Y7" s="4"/>
      <c r="Z7" s="4"/>
      <c r="AA7" s="10"/>
      <c r="AB7" s="26">
        <f t="shared" si="1"/>
        <v>0</v>
      </c>
      <c r="AC7" s="27">
        <f t="shared" si="2"/>
        <v>0</v>
      </c>
      <c r="AD7" s="17">
        <f t="shared" si="3"/>
        <v>0</v>
      </c>
      <c r="AE7" s="27">
        <f t="shared" si="4"/>
        <v>0</v>
      </c>
      <c r="AF7" s="27">
        <f t="shared" si="5"/>
        <v>0</v>
      </c>
      <c r="AG7" s="19" t="str">
        <f t="shared" si="0"/>
        <v>-</v>
      </c>
    </row>
    <row r="8" spans="1:33" x14ac:dyDescent="0.25">
      <c r="B8" s="236" t="s">
        <v>74</v>
      </c>
      <c r="C8" s="9"/>
      <c r="D8" s="159"/>
      <c r="E8" s="159"/>
      <c r="F8" s="4"/>
      <c r="G8" s="37"/>
      <c r="H8" s="9"/>
      <c r="I8" s="159"/>
      <c r="J8" s="159"/>
      <c r="K8" s="4"/>
      <c r="L8" s="10"/>
      <c r="M8" s="23"/>
      <c r="N8" s="159"/>
      <c r="O8" s="159"/>
      <c r="P8" s="4"/>
      <c r="Q8" s="37"/>
      <c r="R8" s="9"/>
      <c r="S8" s="159"/>
      <c r="T8" s="159"/>
      <c r="U8" s="4"/>
      <c r="V8" s="10"/>
      <c r="W8" s="259"/>
      <c r="X8" s="4"/>
      <c r="Y8" s="4"/>
      <c r="Z8" s="4"/>
      <c r="AA8" s="10"/>
      <c r="AB8" s="26">
        <f t="shared" si="1"/>
        <v>0</v>
      </c>
      <c r="AC8" s="27">
        <f t="shared" si="2"/>
        <v>0</v>
      </c>
      <c r="AD8" s="17">
        <f t="shared" si="3"/>
        <v>0</v>
      </c>
      <c r="AE8" s="27">
        <f t="shared" si="4"/>
        <v>0</v>
      </c>
      <c r="AF8" s="27">
        <f t="shared" si="5"/>
        <v>0</v>
      </c>
      <c r="AG8" s="19" t="str">
        <f t="shared" si="0"/>
        <v>-</v>
      </c>
    </row>
    <row r="9" spans="1:33" x14ac:dyDescent="0.25">
      <c r="B9" s="236" t="s">
        <v>6</v>
      </c>
      <c r="C9" s="9"/>
      <c r="D9" s="159"/>
      <c r="E9" s="159"/>
      <c r="F9" s="4"/>
      <c r="G9" s="37"/>
      <c r="H9" s="9"/>
      <c r="I9" s="159"/>
      <c r="J9" s="159"/>
      <c r="K9" s="4"/>
      <c r="L9" s="10"/>
      <c r="M9" s="23"/>
      <c r="N9" s="159"/>
      <c r="O9" s="159"/>
      <c r="P9" s="4"/>
      <c r="Q9" s="37"/>
      <c r="R9" s="9"/>
      <c r="S9" s="159"/>
      <c r="T9" s="159"/>
      <c r="U9" s="4"/>
      <c r="V9" s="10"/>
      <c r="W9" s="259"/>
      <c r="X9" s="4"/>
      <c r="Y9" s="4"/>
      <c r="Z9" s="4"/>
      <c r="AA9" s="10"/>
      <c r="AB9" s="26">
        <f t="shared" si="1"/>
        <v>0</v>
      </c>
      <c r="AC9" s="27">
        <f t="shared" si="2"/>
        <v>0</v>
      </c>
      <c r="AD9" s="17">
        <f t="shared" si="3"/>
        <v>0</v>
      </c>
      <c r="AE9" s="27">
        <f t="shared" si="4"/>
        <v>0</v>
      </c>
      <c r="AF9" s="27">
        <f t="shared" si="5"/>
        <v>0</v>
      </c>
      <c r="AG9" s="19" t="str">
        <f t="shared" si="0"/>
        <v>-</v>
      </c>
    </row>
    <row r="10" spans="1:33" x14ac:dyDescent="0.25">
      <c r="B10" s="236" t="s">
        <v>7</v>
      </c>
      <c r="C10" s="9" t="s">
        <v>50</v>
      </c>
      <c r="D10" s="159">
        <v>0</v>
      </c>
      <c r="E10" s="159">
        <v>0</v>
      </c>
      <c r="F10" s="4"/>
      <c r="G10" s="37" t="s">
        <v>76</v>
      </c>
      <c r="H10" s="9" t="s">
        <v>50</v>
      </c>
      <c r="I10" s="159">
        <v>0</v>
      </c>
      <c r="J10" s="159">
        <v>0</v>
      </c>
      <c r="K10" s="4">
        <v>7.04</v>
      </c>
      <c r="L10" s="10" t="s">
        <v>76</v>
      </c>
      <c r="M10" s="23" t="s">
        <v>50</v>
      </c>
      <c r="N10" s="159">
        <v>0</v>
      </c>
      <c r="O10" s="159">
        <v>0</v>
      </c>
      <c r="P10" s="4">
        <v>6.94</v>
      </c>
      <c r="Q10" s="37" t="s">
        <v>76</v>
      </c>
      <c r="R10" s="9" t="s">
        <v>50</v>
      </c>
      <c r="S10" s="159">
        <v>0</v>
      </c>
      <c r="T10" s="159">
        <v>0</v>
      </c>
      <c r="U10" s="4">
        <v>7.78</v>
      </c>
      <c r="V10" s="10" t="s">
        <v>76</v>
      </c>
      <c r="W10" s="259"/>
      <c r="X10" s="4"/>
      <c r="Y10" s="4"/>
      <c r="Z10" s="4"/>
      <c r="AA10" s="10"/>
      <c r="AB10" s="26">
        <f t="shared" si="1"/>
        <v>4</v>
      </c>
      <c r="AC10" s="27">
        <f t="shared" si="2"/>
        <v>0</v>
      </c>
      <c r="AD10" s="17">
        <f t="shared" si="3"/>
        <v>0</v>
      </c>
      <c r="AE10" s="27">
        <f t="shared" si="4"/>
        <v>0</v>
      </c>
      <c r="AF10" s="27">
        <f t="shared" si="5"/>
        <v>4</v>
      </c>
      <c r="AG10" s="19">
        <f t="shared" si="0"/>
        <v>7.2533333333333339</v>
      </c>
    </row>
    <row r="11" spans="1:33" x14ac:dyDescent="0.25">
      <c r="B11" s="236" t="s">
        <v>8</v>
      </c>
      <c r="C11" s="9"/>
      <c r="D11" s="159"/>
      <c r="E11" s="159"/>
      <c r="F11" s="4"/>
      <c r="G11" s="37"/>
      <c r="H11" s="9"/>
      <c r="I11" s="159"/>
      <c r="J11" s="159"/>
      <c r="K11" s="4"/>
      <c r="L11" s="10"/>
      <c r="M11" s="23"/>
      <c r="N11" s="159"/>
      <c r="O11" s="159"/>
      <c r="P11" s="4"/>
      <c r="Q11" s="37"/>
      <c r="R11" s="9"/>
      <c r="S11" s="159"/>
      <c r="T11" s="159"/>
      <c r="U11" s="4"/>
      <c r="V11" s="10"/>
      <c r="W11" s="259"/>
      <c r="X11" s="4"/>
      <c r="Y11" s="4"/>
      <c r="Z11" s="4"/>
      <c r="AA11" s="10"/>
      <c r="AB11" s="26">
        <f t="shared" si="1"/>
        <v>0</v>
      </c>
      <c r="AC11" s="27">
        <f t="shared" si="2"/>
        <v>0</v>
      </c>
      <c r="AD11" s="17">
        <f t="shared" si="3"/>
        <v>0</v>
      </c>
      <c r="AE11" s="27">
        <f t="shared" si="4"/>
        <v>0</v>
      </c>
      <c r="AF11" s="27">
        <f t="shared" si="5"/>
        <v>0</v>
      </c>
      <c r="AG11" s="19" t="str">
        <f t="shared" si="0"/>
        <v>-</v>
      </c>
    </row>
    <row r="12" spans="1:33" x14ac:dyDescent="0.25">
      <c r="B12" s="236" t="s">
        <v>9</v>
      </c>
      <c r="C12" s="9"/>
      <c r="D12" s="159"/>
      <c r="E12" s="159"/>
      <c r="F12" s="4"/>
      <c r="G12" s="37"/>
      <c r="H12" s="9" t="s">
        <v>50</v>
      </c>
      <c r="I12" s="159">
        <v>1</v>
      </c>
      <c r="J12" s="159">
        <v>1</v>
      </c>
      <c r="K12" s="4">
        <v>5.88</v>
      </c>
      <c r="L12" s="10"/>
      <c r="M12" s="23"/>
      <c r="N12" s="159"/>
      <c r="O12" s="159"/>
      <c r="P12" s="4"/>
      <c r="Q12" s="37"/>
      <c r="R12" s="9" t="s">
        <v>50</v>
      </c>
      <c r="S12" s="159">
        <v>1</v>
      </c>
      <c r="T12" s="159">
        <v>2</v>
      </c>
      <c r="U12" s="4">
        <v>6.9</v>
      </c>
      <c r="V12" s="10" t="s">
        <v>76</v>
      </c>
      <c r="W12" s="259"/>
      <c r="X12" s="4"/>
      <c r="Y12" s="4"/>
      <c r="Z12" s="4"/>
      <c r="AA12" s="10"/>
      <c r="AB12" s="26">
        <f t="shared" si="1"/>
        <v>2</v>
      </c>
      <c r="AC12" s="27">
        <f t="shared" si="2"/>
        <v>2</v>
      </c>
      <c r="AD12" s="17">
        <f t="shared" si="3"/>
        <v>3</v>
      </c>
      <c r="AE12" s="27">
        <f t="shared" si="4"/>
        <v>5</v>
      </c>
      <c r="AF12" s="27">
        <f t="shared" si="5"/>
        <v>1</v>
      </c>
      <c r="AG12" s="19">
        <f t="shared" si="0"/>
        <v>6.3900000000000006</v>
      </c>
    </row>
    <row r="13" spans="1:33" x14ac:dyDescent="0.25">
      <c r="B13" s="236" t="s">
        <v>10</v>
      </c>
      <c r="C13" s="9" t="s">
        <v>50</v>
      </c>
      <c r="D13" s="159">
        <v>2</v>
      </c>
      <c r="E13" s="159">
        <v>0</v>
      </c>
      <c r="F13" s="4"/>
      <c r="G13" s="37"/>
      <c r="H13" s="9" t="s">
        <v>50</v>
      </c>
      <c r="I13" s="159">
        <v>0</v>
      </c>
      <c r="J13" s="159">
        <v>0</v>
      </c>
      <c r="K13" s="4">
        <v>4.46</v>
      </c>
      <c r="L13" s="10"/>
      <c r="M13" s="23"/>
      <c r="N13" s="159"/>
      <c r="O13" s="159"/>
      <c r="P13" s="4"/>
      <c r="Q13" s="37"/>
      <c r="R13" s="9" t="s">
        <v>50</v>
      </c>
      <c r="S13" s="159">
        <v>0</v>
      </c>
      <c r="T13" s="159">
        <v>2</v>
      </c>
      <c r="U13" s="4">
        <v>4.22</v>
      </c>
      <c r="V13" s="10"/>
      <c r="W13" s="259"/>
      <c r="X13" s="4"/>
      <c r="Y13" s="4"/>
      <c r="Z13" s="4"/>
      <c r="AA13" s="10"/>
      <c r="AB13" s="26">
        <f t="shared" si="1"/>
        <v>3</v>
      </c>
      <c r="AC13" s="27">
        <f t="shared" si="2"/>
        <v>2</v>
      </c>
      <c r="AD13" s="17">
        <f t="shared" si="3"/>
        <v>2</v>
      </c>
      <c r="AE13" s="27">
        <f t="shared" si="4"/>
        <v>4</v>
      </c>
      <c r="AF13" s="27">
        <f t="shared" si="5"/>
        <v>0</v>
      </c>
      <c r="AG13" s="19">
        <f t="shared" si="0"/>
        <v>4.34</v>
      </c>
    </row>
    <row r="14" spans="1:33" x14ac:dyDescent="0.25">
      <c r="B14" s="236" t="s">
        <v>11</v>
      </c>
      <c r="C14" s="9"/>
      <c r="D14" s="159"/>
      <c r="E14" s="159"/>
      <c r="F14" s="4"/>
      <c r="G14" s="37"/>
      <c r="H14" s="9" t="s">
        <v>50</v>
      </c>
      <c r="I14" s="159">
        <v>0</v>
      </c>
      <c r="J14" s="159">
        <v>2</v>
      </c>
      <c r="K14" s="4">
        <v>7.16</v>
      </c>
      <c r="L14" s="10" t="s">
        <v>76</v>
      </c>
      <c r="M14" s="23"/>
      <c r="N14" s="159"/>
      <c r="O14" s="159"/>
      <c r="P14" s="4"/>
      <c r="Q14" s="37"/>
      <c r="R14" s="9"/>
      <c r="S14" s="159"/>
      <c r="T14" s="159"/>
      <c r="U14" s="4"/>
      <c r="V14" s="10"/>
      <c r="W14" s="259"/>
      <c r="X14" s="4"/>
      <c r="Y14" s="4"/>
      <c r="Z14" s="4"/>
      <c r="AA14" s="10"/>
      <c r="AB14" s="26">
        <f t="shared" si="1"/>
        <v>1</v>
      </c>
      <c r="AC14" s="27">
        <f t="shared" si="2"/>
        <v>0</v>
      </c>
      <c r="AD14" s="17">
        <f t="shared" si="3"/>
        <v>2</v>
      </c>
      <c r="AE14" s="27">
        <f t="shared" si="4"/>
        <v>2</v>
      </c>
      <c r="AF14" s="27">
        <f t="shared" si="5"/>
        <v>1</v>
      </c>
      <c r="AG14" s="19">
        <f t="shared" si="0"/>
        <v>7.16</v>
      </c>
    </row>
    <row r="15" spans="1:33" x14ac:dyDescent="0.25">
      <c r="B15" s="237" t="s">
        <v>83</v>
      </c>
      <c r="C15" s="9"/>
      <c r="D15" s="159"/>
      <c r="E15" s="159"/>
      <c r="F15" s="4"/>
      <c r="G15" s="37"/>
      <c r="H15" s="9"/>
      <c r="I15" s="159"/>
      <c r="J15" s="159"/>
      <c r="K15" s="4"/>
      <c r="L15" s="10"/>
      <c r="M15" s="23"/>
      <c r="N15" s="159"/>
      <c r="O15" s="159"/>
      <c r="P15" s="4"/>
      <c r="Q15" s="37"/>
      <c r="R15" s="9"/>
      <c r="S15" s="159"/>
      <c r="T15" s="159"/>
      <c r="U15" s="4"/>
      <c r="V15" s="10"/>
      <c r="W15" s="259"/>
      <c r="X15" s="4"/>
      <c r="Y15" s="4"/>
      <c r="Z15" s="4"/>
      <c r="AA15" s="10"/>
      <c r="AB15" s="26">
        <f t="shared" si="1"/>
        <v>0</v>
      </c>
      <c r="AC15" s="27">
        <f t="shared" si="2"/>
        <v>0</v>
      </c>
      <c r="AD15" s="17">
        <f t="shared" si="3"/>
        <v>0</v>
      </c>
      <c r="AE15" s="27">
        <f t="shared" si="4"/>
        <v>0</v>
      </c>
      <c r="AF15" s="27">
        <f t="shared" si="5"/>
        <v>0</v>
      </c>
      <c r="AG15" s="19" t="str">
        <f t="shared" si="0"/>
        <v>-</v>
      </c>
    </row>
    <row r="16" spans="1:33" x14ac:dyDescent="0.25">
      <c r="B16" s="236" t="s">
        <v>12</v>
      </c>
      <c r="C16" s="9" t="s">
        <v>50</v>
      </c>
      <c r="D16" s="159">
        <v>0</v>
      </c>
      <c r="E16" s="159">
        <v>0</v>
      </c>
      <c r="F16" s="4"/>
      <c r="G16" s="37"/>
      <c r="H16" s="9" t="s">
        <v>50</v>
      </c>
      <c r="I16" s="159">
        <v>0</v>
      </c>
      <c r="J16" s="159">
        <v>0</v>
      </c>
      <c r="K16" s="4">
        <v>6.3</v>
      </c>
      <c r="L16" s="10"/>
      <c r="M16" s="23" t="s">
        <v>50</v>
      </c>
      <c r="N16" s="159">
        <v>0</v>
      </c>
      <c r="O16" s="159">
        <v>0</v>
      </c>
      <c r="P16" s="4">
        <v>5.22</v>
      </c>
      <c r="Q16" s="37"/>
      <c r="R16" s="9" t="s">
        <v>50</v>
      </c>
      <c r="S16" s="159">
        <v>0</v>
      </c>
      <c r="T16" s="159">
        <v>0</v>
      </c>
      <c r="U16" s="4">
        <v>5</v>
      </c>
      <c r="V16" s="10"/>
      <c r="W16" s="259"/>
      <c r="X16" s="4"/>
      <c r="Y16" s="4"/>
      <c r="Z16" s="4"/>
      <c r="AA16" s="10"/>
      <c r="AB16" s="26">
        <f t="shared" si="1"/>
        <v>4</v>
      </c>
      <c r="AC16" s="27">
        <f t="shared" si="2"/>
        <v>0</v>
      </c>
      <c r="AD16" s="17">
        <f t="shared" si="3"/>
        <v>0</v>
      </c>
      <c r="AE16" s="27">
        <f t="shared" si="4"/>
        <v>0</v>
      </c>
      <c r="AF16" s="27">
        <f t="shared" si="5"/>
        <v>0</v>
      </c>
      <c r="AG16" s="19">
        <f t="shared" si="0"/>
        <v>5.5066666666666668</v>
      </c>
    </row>
    <row r="17" spans="2:33" x14ac:dyDescent="0.25">
      <c r="B17" s="236" t="s">
        <v>56</v>
      </c>
      <c r="C17" s="9"/>
      <c r="D17" s="159"/>
      <c r="E17" s="159"/>
      <c r="F17" s="4"/>
      <c r="G17" s="37"/>
      <c r="H17" s="9"/>
      <c r="I17" s="159"/>
      <c r="J17" s="159"/>
      <c r="K17" s="4"/>
      <c r="L17" s="10"/>
      <c r="M17" s="23"/>
      <c r="N17" s="159"/>
      <c r="O17" s="159"/>
      <c r="P17" s="4"/>
      <c r="Q17" s="37"/>
      <c r="R17" s="9"/>
      <c r="S17" s="159"/>
      <c r="T17" s="159"/>
      <c r="U17" s="4"/>
      <c r="V17" s="10"/>
      <c r="W17" s="259"/>
      <c r="X17" s="4"/>
      <c r="Y17" s="4"/>
      <c r="Z17" s="4"/>
      <c r="AA17" s="10"/>
      <c r="AB17" s="26">
        <f t="shared" si="1"/>
        <v>0</v>
      </c>
      <c r="AC17" s="27">
        <f t="shared" si="2"/>
        <v>0</v>
      </c>
      <c r="AD17" s="17">
        <f t="shared" si="3"/>
        <v>0</v>
      </c>
      <c r="AE17" s="27">
        <f t="shared" si="4"/>
        <v>0</v>
      </c>
      <c r="AF17" s="27">
        <f t="shared" si="5"/>
        <v>0</v>
      </c>
      <c r="AG17" s="19" t="str">
        <f t="shared" si="0"/>
        <v>-</v>
      </c>
    </row>
    <row r="18" spans="2:33" x14ac:dyDescent="0.25">
      <c r="B18" s="236" t="s">
        <v>13</v>
      </c>
      <c r="C18" s="9" t="s">
        <v>50</v>
      </c>
      <c r="D18" s="159">
        <v>1</v>
      </c>
      <c r="E18" s="159">
        <v>0</v>
      </c>
      <c r="F18" s="4"/>
      <c r="G18" s="37"/>
      <c r="H18" s="9" t="s">
        <v>50</v>
      </c>
      <c r="I18" s="159">
        <v>2</v>
      </c>
      <c r="J18" s="159">
        <v>0</v>
      </c>
      <c r="K18" s="4">
        <v>4.12</v>
      </c>
      <c r="L18" s="10"/>
      <c r="M18" s="23"/>
      <c r="N18" s="159"/>
      <c r="O18" s="159"/>
      <c r="P18" s="4"/>
      <c r="Q18" s="37"/>
      <c r="R18" s="9" t="s">
        <v>50</v>
      </c>
      <c r="S18" s="159">
        <v>0</v>
      </c>
      <c r="T18" s="159">
        <v>1</v>
      </c>
      <c r="U18" s="4">
        <v>4.16</v>
      </c>
      <c r="V18" s="10"/>
      <c r="W18" s="259"/>
      <c r="X18" s="4"/>
      <c r="Y18" s="4"/>
      <c r="Z18" s="4"/>
      <c r="AA18" s="10"/>
      <c r="AB18" s="26">
        <f t="shared" si="1"/>
        <v>3</v>
      </c>
      <c r="AC18" s="27">
        <f t="shared" si="2"/>
        <v>3</v>
      </c>
      <c r="AD18" s="17">
        <f t="shared" si="3"/>
        <v>1</v>
      </c>
      <c r="AE18" s="27">
        <f t="shared" si="4"/>
        <v>4</v>
      </c>
      <c r="AF18" s="27">
        <f t="shared" si="5"/>
        <v>0</v>
      </c>
      <c r="AG18" s="19">
        <f t="shared" si="0"/>
        <v>4.1400000000000006</v>
      </c>
    </row>
    <row r="19" spans="2:33" x14ac:dyDescent="0.25">
      <c r="B19" s="236" t="s">
        <v>14</v>
      </c>
      <c r="C19" s="9"/>
      <c r="D19" s="159"/>
      <c r="E19" s="159"/>
      <c r="F19" s="4"/>
      <c r="G19" s="37"/>
      <c r="H19" s="9" t="s">
        <v>50</v>
      </c>
      <c r="I19" s="159">
        <v>2</v>
      </c>
      <c r="J19" s="159">
        <v>1</v>
      </c>
      <c r="K19" s="4">
        <v>6.76</v>
      </c>
      <c r="L19" s="10"/>
      <c r="M19" s="23"/>
      <c r="N19" s="159"/>
      <c r="O19" s="159"/>
      <c r="P19" s="4"/>
      <c r="Q19" s="37"/>
      <c r="R19" s="9"/>
      <c r="S19" s="159"/>
      <c r="T19" s="159"/>
      <c r="U19" s="4"/>
      <c r="V19" s="10"/>
      <c r="W19" s="259"/>
      <c r="X19" s="4"/>
      <c r="Y19" s="4"/>
      <c r="Z19" s="4"/>
      <c r="AA19" s="10"/>
      <c r="AB19" s="26">
        <f t="shared" si="1"/>
        <v>1</v>
      </c>
      <c r="AC19" s="27">
        <f t="shared" si="2"/>
        <v>2</v>
      </c>
      <c r="AD19" s="17">
        <f t="shared" si="3"/>
        <v>1</v>
      </c>
      <c r="AE19" s="27">
        <f t="shared" si="4"/>
        <v>3</v>
      </c>
      <c r="AF19" s="27">
        <f t="shared" si="5"/>
        <v>0</v>
      </c>
      <c r="AG19" s="19">
        <f t="shared" si="0"/>
        <v>6.76</v>
      </c>
    </row>
    <row r="20" spans="2:33" x14ac:dyDescent="0.25">
      <c r="B20" s="237" t="s">
        <v>86</v>
      </c>
      <c r="C20" s="9"/>
      <c r="D20" s="159"/>
      <c r="E20" s="159"/>
      <c r="F20" s="4"/>
      <c r="G20" s="37"/>
      <c r="H20" s="9"/>
      <c r="I20" s="159"/>
      <c r="J20" s="159"/>
      <c r="K20" s="4"/>
      <c r="L20" s="10"/>
      <c r="M20" s="23"/>
      <c r="N20" s="159"/>
      <c r="O20" s="159"/>
      <c r="P20" s="4"/>
      <c r="Q20" s="37"/>
      <c r="R20" s="9"/>
      <c r="S20" s="159"/>
      <c r="T20" s="159"/>
      <c r="U20" s="4"/>
      <c r="V20" s="10"/>
      <c r="W20" s="259"/>
      <c r="X20" s="4"/>
      <c r="Y20" s="4"/>
      <c r="Z20" s="4"/>
      <c r="AA20" s="10"/>
      <c r="AB20" s="26">
        <f t="shared" si="1"/>
        <v>0</v>
      </c>
      <c r="AC20" s="27">
        <f t="shared" si="2"/>
        <v>0</v>
      </c>
      <c r="AD20" s="17">
        <f t="shared" si="3"/>
        <v>0</v>
      </c>
      <c r="AE20" s="27">
        <f t="shared" si="4"/>
        <v>0</v>
      </c>
      <c r="AF20" s="27">
        <f t="shared" si="5"/>
        <v>0</v>
      </c>
      <c r="AG20" s="19" t="str">
        <f t="shared" si="0"/>
        <v>-</v>
      </c>
    </row>
    <row r="21" spans="2:33" x14ac:dyDescent="0.25">
      <c r="B21" s="236" t="s">
        <v>15</v>
      </c>
      <c r="C21" s="9"/>
      <c r="D21" s="159"/>
      <c r="E21" s="159"/>
      <c r="F21" s="4"/>
      <c r="G21" s="37"/>
      <c r="H21" s="9" t="s">
        <v>50</v>
      </c>
      <c r="I21" s="159">
        <v>0</v>
      </c>
      <c r="J21" s="159">
        <v>0</v>
      </c>
      <c r="K21" s="4">
        <v>4.84</v>
      </c>
      <c r="L21" s="10" t="s">
        <v>76</v>
      </c>
      <c r="M21" s="23"/>
      <c r="N21" s="159"/>
      <c r="O21" s="159"/>
      <c r="P21" s="4"/>
      <c r="Q21" s="37"/>
      <c r="R21" s="9" t="s">
        <v>50</v>
      </c>
      <c r="S21" s="159">
        <v>0</v>
      </c>
      <c r="T21" s="159">
        <v>0</v>
      </c>
      <c r="U21" s="4">
        <v>5.64</v>
      </c>
      <c r="V21" s="10" t="s">
        <v>76</v>
      </c>
      <c r="W21" s="259"/>
      <c r="X21" s="4"/>
      <c r="Y21" s="4"/>
      <c r="Z21" s="4"/>
      <c r="AA21" s="10"/>
      <c r="AB21" s="26">
        <f t="shared" si="1"/>
        <v>2</v>
      </c>
      <c r="AC21" s="27">
        <f t="shared" si="2"/>
        <v>0</v>
      </c>
      <c r="AD21" s="17">
        <f t="shared" si="3"/>
        <v>0</v>
      </c>
      <c r="AE21" s="27">
        <f t="shared" si="4"/>
        <v>0</v>
      </c>
      <c r="AF21" s="27">
        <f t="shared" si="5"/>
        <v>2</v>
      </c>
      <c r="AG21" s="19">
        <f t="shared" si="0"/>
        <v>5.24</v>
      </c>
    </row>
    <row r="22" spans="2:33" x14ac:dyDescent="0.25">
      <c r="B22" s="236" t="s">
        <v>16</v>
      </c>
      <c r="C22" s="9" t="s">
        <v>50</v>
      </c>
      <c r="D22" s="159">
        <v>2</v>
      </c>
      <c r="E22" s="159">
        <v>0</v>
      </c>
      <c r="F22" s="4"/>
      <c r="G22" s="37"/>
      <c r="H22" s="9" t="s">
        <v>50</v>
      </c>
      <c r="I22" s="159">
        <v>1</v>
      </c>
      <c r="J22" s="159">
        <v>0</v>
      </c>
      <c r="K22" s="4">
        <v>4.16</v>
      </c>
      <c r="L22" s="10" t="s">
        <v>76</v>
      </c>
      <c r="M22" s="23" t="s">
        <v>50</v>
      </c>
      <c r="N22" s="159">
        <v>2</v>
      </c>
      <c r="O22" s="159">
        <v>2</v>
      </c>
      <c r="P22" s="4">
        <v>5.66</v>
      </c>
      <c r="Q22" s="37" t="s">
        <v>76</v>
      </c>
      <c r="R22" s="9" t="s">
        <v>50</v>
      </c>
      <c r="S22" s="159">
        <v>5</v>
      </c>
      <c r="T22" s="159">
        <v>2</v>
      </c>
      <c r="U22" s="4">
        <v>6.06</v>
      </c>
      <c r="V22" s="10" t="s">
        <v>76</v>
      </c>
      <c r="W22" s="259"/>
      <c r="X22" s="4"/>
      <c r="Y22" s="4"/>
      <c r="Z22" s="4"/>
      <c r="AA22" s="10"/>
      <c r="AB22" s="26">
        <f t="shared" si="1"/>
        <v>4</v>
      </c>
      <c r="AC22" s="27">
        <f t="shared" si="2"/>
        <v>10</v>
      </c>
      <c r="AD22" s="17">
        <f t="shared" si="3"/>
        <v>4</v>
      </c>
      <c r="AE22" s="27">
        <f t="shared" si="4"/>
        <v>14</v>
      </c>
      <c r="AF22" s="27">
        <f t="shared" si="5"/>
        <v>3</v>
      </c>
      <c r="AG22" s="19">
        <f t="shared" si="0"/>
        <v>5.293333333333333</v>
      </c>
    </row>
    <row r="23" spans="2:33" x14ac:dyDescent="0.25">
      <c r="B23" s="236" t="s">
        <v>17</v>
      </c>
      <c r="C23" s="9"/>
      <c r="D23" s="159"/>
      <c r="E23" s="159"/>
      <c r="F23" s="4"/>
      <c r="G23" s="37"/>
      <c r="H23" s="9"/>
      <c r="I23" s="159"/>
      <c r="J23" s="159"/>
      <c r="K23" s="4"/>
      <c r="L23" s="10"/>
      <c r="M23" s="23"/>
      <c r="N23" s="159"/>
      <c r="O23" s="159"/>
      <c r="P23" s="4"/>
      <c r="Q23" s="37"/>
      <c r="R23" s="9"/>
      <c r="S23" s="159"/>
      <c r="T23" s="159"/>
      <c r="U23" s="4"/>
      <c r="V23" s="10"/>
      <c r="W23" s="259"/>
      <c r="X23" s="4"/>
      <c r="Y23" s="4"/>
      <c r="Z23" s="4"/>
      <c r="AA23" s="10"/>
      <c r="AB23" s="26">
        <f t="shared" si="1"/>
        <v>0</v>
      </c>
      <c r="AC23" s="27">
        <f t="shared" si="2"/>
        <v>0</v>
      </c>
      <c r="AD23" s="17">
        <f t="shared" si="3"/>
        <v>0</v>
      </c>
      <c r="AE23" s="27">
        <f t="shared" si="4"/>
        <v>0</v>
      </c>
      <c r="AF23" s="27">
        <f t="shared" si="5"/>
        <v>0</v>
      </c>
      <c r="AG23" s="19" t="str">
        <f t="shared" si="0"/>
        <v>-</v>
      </c>
    </row>
    <row r="24" spans="2:33" x14ac:dyDescent="0.25">
      <c r="B24" s="236" t="s">
        <v>18</v>
      </c>
      <c r="C24" s="9"/>
      <c r="D24" s="159"/>
      <c r="E24" s="159"/>
      <c r="F24" s="4"/>
      <c r="G24" s="37"/>
      <c r="H24" s="9"/>
      <c r="I24" s="159"/>
      <c r="J24" s="159"/>
      <c r="K24" s="4"/>
      <c r="L24" s="10"/>
      <c r="M24" s="23"/>
      <c r="N24" s="159"/>
      <c r="O24" s="159"/>
      <c r="P24" s="4"/>
      <c r="Q24" s="37"/>
      <c r="R24" s="9"/>
      <c r="S24" s="159"/>
      <c r="T24" s="159"/>
      <c r="U24" s="4"/>
      <c r="V24" s="10"/>
      <c r="W24" s="259"/>
      <c r="X24" s="4"/>
      <c r="Y24" s="4"/>
      <c r="Z24" s="4"/>
      <c r="AA24" s="10"/>
      <c r="AB24" s="26">
        <f t="shared" si="1"/>
        <v>0</v>
      </c>
      <c r="AC24" s="27">
        <f t="shared" si="2"/>
        <v>0</v>
      </c>
      <c r="AD24" s="17">
        <f t="shared" si="3"/>
        <v>0</v>
      </c>
      <c r="AE24" s="27">
        <f t="shared" si="4"/>
        <v>0</v>
      </c>
      <c r="AF24" s="27">
        <f t="shared" si="5"/>
        <v>0</v>
      </c>
      <c r="AG24" s="19" t="str">
        <f t="shared" si="0"/>
        <v>-</v>
      </c>
    </row>
    <row r="25" spans="2:33" x14ac:dyDescent="0.25">
      <c r="B25" s="236" t="s">
        <v>19</v>
      </c>
      <c r="C25" s="9"/>
      <c r="D25" s="159"/>
      <c r="E25" s="159"/>
      <c r="F25" s="4"/>
      <c r="G25" s="37"/>
      <c r="H25" s="9"/>
      <c r="I25" s="159"/>
      <c r="J25" s="159"/>
      <c r="K25" s="4"/>
      <c r="L25" s="10"/>
      <c r="M25" s="23"/>
      <c r="N25" s="159"/>
      <c r="O25" s="159"/>
      <c r="P25" s="4"/>
      <c r="Q25" s="37"/>
      <c r="R25" s="9"/>
      <c r="S25" s="159"/>
      <c r="T25" s="159"/>
      <c r="U25" s="4"/>
      <c r="V25" s="10"/>
      <c r="W25" s="259"/>
      <c r="X25" s="4"/>
      <c r="Y25" s="4"/>
      <c r="Z25" s="4"/>
      <c r="AA25" s="10"/>
      <c r="AB25" s="26">
        <f t="shared" si="1"/>
        <v>0</v>
      </c>
      <c r="AC25" s="27">
        <f t="shared" si="2"/>
        <v>0</v>
      </c>
      <c r="AD25" s="17">
        <f t="shared" si="3"/>
        <v>0</v>
      </c>
      <c r="AE25" s="27">
        <f t="shared" si="4"/>
        <v>0</v>
      </c>
      <c r="AF25" s="27">
        <f t="shared" si="5"/>
        <v>0</v>
      </c>
      <c r="AG25" s="19" t="str">
        <f t="shared" si="0"/>
        <v>-</v>
      </c>
    </row>
    <row r="26" spans="2:33" x14ac:dyDescent="0.25">
      <c r="B26" s="236" t="s">
        <v>79</v>
      </c>
      <c r="C26" s="9"/>
      <c r="D26" s="159"/>
      <c r="E26" s="159"/>
      <c r="F26" s="4"/>
      <c r="G26" s="37"/>
      <c r="H26" s="9"/>
      <c r="I26" s="159"/>
      <c r="J26" s="159"/>
      <c r="K26" s="4"/>
      <c r="L26" s="10"/>
      <c r="M26" s="23"/>
      <c r="N26" s="159"/>
      <c r="O26" s="159"/>
      <c r="P26" s="4"/>
      <c r="Q26" s="37"/>
      <c r="R26" s="9"/>
      <c r="S26" s="159"/>
      <c r="T26" s="159"/>
      <c r="U26" s="4"/>
      <c r="V26" s="10"/>
      <c r="W26" s="259"/>
      <c r="X26" s="4"/>
      <c r="Y26" s="4"/>
      <c r="Z26" s="4"/>
      <c r="AA26" s="10"/>
      <c r="AB26" s="26">
        <f t="shared" si="1"/>
        <v>0</v>
      </c>
      <c r="AC26" s="27">
        <f t="shared" si="2"/>
        <v>0</v>
      </c>
      <c r="AD26" s="17">
        <f t="shared" si="3"/>
        <v>0</v>
      </c>
      <c r="AE26" s="27">
        <f t="shared" si="4"/>
        <v>0</v>
      </c>
      <c r="AF26" s="27">
        <f t="shared" si="5"/>
        <v>0</v>
      </c>
      <c r="AG26" s="19" t="str">
        <f t="shared" si="0"/>
        <v>-</v>
      </c>
    </row>
    <row r="27" spans="2:33" x14ac:dyDescent="0.25">
      <c r="B27" s="236" t="s">
        <v>20</v>
      </c>
      <c r="C27" s="9"/>
      <c r="D27" s="159"/>
      <c r="E27" s="159"/>
      <c r="F27" s="4"/>
      <c r="G27" s="37" t="s">
        <v>76</v>
      </c>
      <c r="H27" s="9" t="s">
        <v>50</v>
      </c>
      <c r="I27" s="159">
        <v>2</v>
      </c>
      <c r="J27" s="159">
        <v>0</v>
      </c>
      <c r="K27" s="4">
        <v>6</v>
      </c>
      <c r="L27" s="10"/>
      <c r="M27" s="23" t="s">
        <v>50</v>
      </c>
      <c r="N27" s="159">
        <v>1</v>
      </c>
      <c r="O27" s="159">
        <v>1</v>
      </c>
      <c r="P27" s="4">
        <v>4.88</v>
      </c>
      <c r="Q27" s="37"/>
      <c r="R27" s="9"/>
      <c r="S27" s="159"/>
      <c r="T27" s="159"/>
      <c r="U27" s="4"/>
      <c r="V27" s="10"/>
      <c r="W27" s="259"/>
      <c r="X27" s="4"/>
      <c r="Y27" s="4"/>
      <c r="Z27" s="4"/>
      <c r="AA27" s="10"/>
      <c r="AB27" s="26">
        <f t="shared" si="1"/>
        <v>2</v>
      </c>
      <c r="AC27" s="27">
        <f t="shared" si="2"/>
        <v>3</v>
      </c>
      <c r="AD27" s="17">
        <f t="shared" si="3"/>
        <v>1</v>
      </c>
      <c r="AE27" s="27">
        <f t="shared" si="4"/>
        <v>4</v>
      </c>
      <c r="AF27" s="27">
        <f t="shared" si="5"/>
        <v>1</v>
      </c>
      <c r="AG27" s="19">
        <f t="shared" si="0"/>
        <v>5.4399999999999995</v>
      </c>
    </row>
    <row r="28" spans="2:33" x14ac:dyDescent="0.25">
      <c r="B28" s="237" t="s">
        <v>82</v>
      </c>
      <c r="C28" s="9"/>
      <c r="D28" s="159"/>
      <c r="E28" s="159"/>
      <c r="F28" s="4"/>
      <c r="G28" s="37"/>
      <c r="H28" s="9"/>
      <c r="I28" s="159"/>
      <c r="J28" s="159"/>
      <c r="K28" s="4"/>
      <c r="L28" s="10"/>
      <c r="M28" s="23"/>
      <c r="N28" s="159"/>
      <c r="O28" s="159"/>
      <c r="P28" s="4"/>
      <c r="Q28" s="37"/>
      <c r="R28" s="9"/>
      <c r="S28" s="159"/>
      <c r="T28" s="159"/>
      <c r="U28" s="4"/>
      <c r="V28" s="10"/>
      <c r="W28" s="259"/>
      <c r="X28" s="4"/>
      <c r="Y28" s="4"/>
      <c r="Z28" s="4"/>
      <c r="AA28" s="10"/>
      <c r="AB28" s="26">
        <f t="shared" si="1"/>
        <v>0</v>
      </c>
      <c r="AC28" s="27">
        <f t="shared" si="2"/>
        <v>0</v>
      </c>
      <c r="AD28" s="17">
        <f t="shared" si="3"/>
        <v>0</v>
      </c>
      <c r="AE28" s="27">
        <f t="shared" si="4"/>
        <v>0</v>
      </c>
      <c r="AF28" s="27">
        <f t="shared" si="5"/>
        <v>0</v>
      </c>
      <c r="AG28" s="19" t="str">
        <f t="shared" si="0"/>
        <v>-</v>
      </c>
    </row>
    <row r="29" spans="2:33" x14ac:dyDescent="0.25">
      <c r="B29" s="236" t="s">
        <v>21</v>
      </c>
      <c r="C29" s="9"/>
      <c r="D29" s="159"/>
      <c r="E29" s="159"/>
      <c r="F29" s="4"/>
      <c r="G29" s="37"/>
      <c r="H29" s="9"/>
      <c r="I29" s="159"/>
      <c r="J29" s="159"/>
      <c r="K29" s="4"/>
      <c r="L29" s="10"/>
      <c r="M29" s="23"/>
      <c r="N29" s="159"/>
      <c r="O29" s="159"/>
      <c r="P29" s="4"/>
      <c r="Q29" s="37"/>
      <c r="R29" s="9"/>
      <c r="S29" s="159"/>
      <c r="T29" s="159"/>
      <c r="U29" s="4"/>
      <c r="V29" s="10"/>
      <c r="W29" s="259"/>
      <c r="X29" s="4"/>
      <c r="Y29" s="4"/>
      <c r="Z29" s="4"/>
      <c r="AA29" s="10"/>
      <c r="AB29" s="26">
        <f t="shared" si="1"/>
        <v>0</v>
      </c>
      <c r="AC29" s="27">
        <f t="shared" si="2"/>
        <v>0</v>
      </c>
      <c r="AD29" s="17">
        <f t="shared" si="3"/>
        <v>0</v>
      </c>
      <c r="AE29" s="27">
        <f t="shared" si="4"/>
        <v>0</v>
      </c>
      <c r="AF29" s="27">
        <f t="shared" si="5"/>
        <v>0</v>
      </c>
      <c r="AG29" s="19" t="str">
        <f t="shared" si="0"/>
        <v>-</v>
      </c>
    </row>
    <row r="30" spans="2:33" x14ac:dyDescent="0.25">
      <c r="B30" s="236" t="s">
        <v>22</v>
      </c>
      <c r="C30" s="9"/>
      <c r="D30" s="159"/>
      <c r="E30" s="159"/>
      <c r="F30" s="4"/>
      <c r="G30" s="37"/>
      <c r="H30" s="9"/>
      <c r="I30" s="159"/>
      <c r="J30" s="159"/>
      <c r="K30" s="4"/>
      <c r="L30" s="10"/>
      <c r="M30" s="23"/>
      <c r="N30" s="159"/>
      <c r="O30" s="159"/>
      <c r="P30" s="4"/>
      <c r="Q30" s="37"/>
      <c r="R30" s="9"/>
      <c r="S30" s="159"/>
      <c r="T30" s="159"/>
      <c r="U30" s="4"/>
      <c r="V30" s="10"/>
      <c r="W30" s="259"/>
      <c r="X30" s="4"/>
      <c r="Y30" s="4"/>
      <c r="Z30" s="4"/>
      <c r="AA30" s="10"/>
      <c r="AB30" s="26">
        <f t="shared" si="1"/>
        <v>0</v>
      </c>
      <c r="AC30" s="27">
        <f t="shared" si="2"/>
        <v>0</v>
      </c>
      <c r="AD30" s="17">
        <f t="shared" si="3"/>
        <v>0</v>
      </c>
      <c r="AE30" s="27">
        <f t="shared" si="4"/>
        <v>0</v>
      </c>
      <c r="AF30" s="27">
        <f t="shared" si="5"/>
        <v>0</v>
      </c>
      <c r="AG30" s="19" t="str">
        <f t="shared" si="0"/>
        <v>-</v>
      </c>
    </row>
    <row r="31" spans="2:33" x14ac:dyDescent="0.25">
      <c r="B31" s="236" t="s">
        <v>23</v>
      </c>
      <c r="C31" s="9"/>
      <c r="D31" s="159"/>
      <c r="E31" s="159"/>
      <c r="F31" s="4"/>
      <c r="G31" s="37"/>
      <c r="H31" s="9"/>
      <c r="I31" s="159"/>
      <c r="J31" s="159"/>
      <c r="K31" s="4"/>
      <c r="L31" s="10"/>
      <c r="M31" s="23" t="s">
        <v>50</v>
      </c>
      <c r="N31" s="159">
        <v>0</v>
      </c>
      <c r="O31" s="159">
        <v>1</v>
      </c>
      <c r="P31" s="4">
        <v>4.28</v>
      </c>
      <c r="Q31" s="37"/>
      <c r="R31" s="9"/>
      <c r="S31" s="159"/>
      <c r="T31" s="159"/>
      <c r="U31" s="4"/>
      <c r="V31" s="10"/>
      <c r="W31" s="259"/>
      <c r="X31" s="4"/>
      <c r="Y31" s="4"/>
      <c r="Z31" s="4"/>
      <c r="AA31" s="10"/>
      <c r="AB31" s="26">
        <f t="shared" si="1"/>
        <v>1</v>
      </c>
      <c r="AC31" s="27">
        <f t="shared" si="2"/>
        <v>0</v>
      </c>
      <c r="AD31" s="17">
        <f t="shared" si="3"/>
        <v>1</v>
      </c>
      <c r="AE31" s="27">
        <f t="shared" si="4"/>
        <v>1</v>
      </c>
      <c r="AF31" s="27">
        <f t="shared" si="5"/>
        <v>0</v>
      </c>
      <c r="AG31" s="19">
        <f t="shared" si="0"/>
        <v>4.28</v>
      </c>
    </row>
    <row r="32" spans="2:33" x14ac:dyDescent="0.25">
      <c r="B32" s="237" t="s">
        <v>84</v>
      </c>
      <c r="C32" s="9"/>
      <c r="D32" s="159"/>
      <c r="E32" s="159"/>
      <c r="F32" s="4"/>
      <c r="G32" s="37"/>
      <c r="H32" s="9"/>
      <c r="I32" s="159"/>
      <c r="J32" s="159"/>
      <c r="K32" s="4"/>
      <c r="L32" s="10"/>
      <c r="M32" s="23"/>
      <c r="N32" s="159"/>
      <c r="O32" s="159"/>
      <c r="P32" s="4"/>
      <c r="Q32" s="37"/>
      <c r="R32" s="9"/>
      <c r="S32" s="159"/>
      <c r="T32" s="159"/>
      <c r="U32" s="4"/>
      <c r="V32" s="10"/>
      <c r="W32" s="259"/>
      <c r="X32" s="4"/>
      <c r="Y32" s="4"/>
      <c r="Z32" s="4"/>
      <c r="AA32" s="10"/>
      <c r="AB32" s="26">
        <f t="shared" si="1"/>
        <v>0</v>
      </c>
      <c r="AC32" s="27">
        <f t="shared" si="2"/>
        <v>0</v>
      </c>
      <c r="AD32" s="17">
        <f t="shared" si="3"/>
        <v>0</v>
      </c>
      <c r="AE32" s="27">
        <f t="shared" si="4"/>
        <v>0</v>
      </c>
      <c r="AF32" s="27">
        <f t="shared" si="5"/>
        <v>0</v>
      </c>
      <c r="AG32" s="19" t="str">
        <f t="shared" si="0"/>
        <v>-</v>
      </c>
    </row>
    <row r="33" spans="2:33" x14ac:dyDescent="0.25">
      <c r="B33" s="236" t="s">
        <v>24</v>
      </c>
      <c r="C33" s="9" t="s">
        <v>50</v>
      </c>
      <c r="D33" s="159">
        <v>3</v>
      </c>
      <c r="E33" s="159">
        <v>2</v>
      </c>
      <c r="F33" s="4"/>
      <c r="G33" s="37" t="s">
        <v>76</v>
      </c>
      <c r="H33" s="9" t="s">
        <v>50</v>
      </c>
      <c r="I33" s="159">
        <v>3</v>
      </c>
      <c r="J33" s="159">
        <v>0</v>
      </c>
      <c r="K33" s="4">
        <v>7.96</v>
      </c>
      <c r="L33" s="10" t="s">
        <v>76</v>
      </c>
      <c r="M33" s="23" t="s">
        <v>50</v>
      </c>
      <c r="N33" s="159">
        <v>3</v>
      </c>
      <c r="O33" s="159">
        <v>1</v>
      </c>
      <c r="P33" s="4">
        <v>8.42</v>
      </c>
      <c r="Q33" s="37" t="s">
        <v>76</v>
      </c>
      <c r="R33" s="9" t="s">
        <v>50</v>
      </c>
      <c r="S33" s="159">
        <v>0</v>
      </c>
      <c r="T33" s="159">
        <v>1</v>
      </c>
      <c r="U33" s="4">
        <v>6</v>
      </c>
      <c r="V33" s="10"/>
      <c r="W33" s="259"/>
      <c r="X33" s="4"/>
      <c r="Y33" s="4"/>
      <c r="Z33" s="4"/>
      <c r="AA33" s="10"/>
      <c r="AB33" s="26">
        <f t="shared" si="1"/>
        <v>4</v>
      </c>
      <c r="AC33" s="27">
        <f t="shared" si="2"/>
        <v>9</v>
      </c>
      <c r="AD33" s="17">
        <f t="shared" si="3"/>
        <v>4</v>
      </c>
      <c r="AE33" s="27">
        <f t="shared" si="4"/>
        <v>13</v>
      </c>
      <c r="AF33" s="27">
        <f t="shared" si="5"/>
        <v>3</v>
      </c>
      <c r="AG33" s="19">
        <f t="shared" si="0"/>
        <v>7.46</v>
      </c>
    </row>
    <row r="34" spans="2:33" x14ac:dyDescent="0.25">
      <c r="B34" s="236" t="s">
        <v>25</v>
      </c>
      <c r="C34" s="9"/>
      <c r="D34" s="159"/>
      <c r="E34" s="159"/>
      <c r="F34" s="4"/>
      <c r="G34" s="37"/>
      <c r="H34" s="9"/>
      <c r="I34" s="159"/>
      <c r="J34" s="159"/>
      <c r="K34" s="4"/>
      <c r="L34" s="10"/>
      <c r="M34" s="23"/>
      <c r="N34" s="159"/>
      <c r="O34" s="159"/>
      <c r="P34" s="4"/>
      <c r="Q34" s="37"/>
      <c r="R34" s="9"/>
      <c r="S34" s="159"/>
      <c r="T34" s="159"/>
      <c r="U34" s="4"/>
      <c r="V34" s="10"/>
      <c r="W34" s="259"/>
      <c r="X34" s="4"/>
      <c r="Y34" s="4"/>
      <c r="Z34" s="4"/>
      <c r="AA34" s="10"/>
      <c r="AB34" s="26">
        <f t="shared" si="1"/>
        <v>0</v>
      </c>
      <c r="AC34" s="27">
        <f t="shared" si="2"/>
        <v>0</v>
      </c>
      <c r="AD34" s="17">
        <f t="shared" si="3"/>
        <v>0</v>
      </c>
      <c r="AE34" s="27">
        <f t="shared" si="4"/>
        <v>0</v>
      </c>
      <c r="AF34" s="27">
        <f t="shared" si="5"/>
        <v>0</v>
      </c>
      <c r="AG34" s="19" t="str">
        <f t="shared" si="0"/>
        <v>-</v>
      </c>
    </row>
    <row r="35" spans="2:33" x14ac:dyDescent="0.25">
      <c r="B35" s="236" t="s">
        <v>26</v>
      </c>
      <c r="C35" s="9"/>
      <c r="D35" s="159"/>
      <c r="E35" s="159"/>
      <c r="F35" s="4"/>
      <c r="G35" s="37"/>
      <c r="H35" s="9" t="s">
        <v>50</v>
      </c>
      <c r="I35" s="159">
        <v>1</v>
      </c>
      <c r="J35" s="159">
        <v>1</v>
      </c>
      <c r="K35" s="4">
        <v>5.54</v>
      </c>
      <c r="L35" s="10"/>
      <c r="M35" s="23" t="s">
        <v>50</v>
      </c>
      <c r="N35" s="159">
        <v>0</v>
      </c>
      <c r="O35" s="159">
        <v>0</v>
      </c>
      <c r="P35" s="4">
        <v>4.9400000000000004</v>
      </c>
      <c r="Q35" s="37"/>
      <c r="R35" s="9" t="s">
        <v>50</v>
      </c>
      <c r="S35" s="159">
        <v>1</v>
      </c>
      <c r="T35" s="159">
        <v>1</v>
      </c>
      <c r="U35" s="4">
        <v>4.42</v>
      </c>
      <c r="V35" s="10"/>
      <c r="W35" s="259"/>
      <c r="X35" s="4"/>
      <c r="Y35" s="4"/>
      <c r="Z35" s="4"/>
      <c r="AA35" s="10"/>
      <c r="AB35" s="26">
        <f t="shared" si="1"/>
        <v>3</v>
      </c>
      <c r="AC35" s="27">
        <f t="shared" si="2"/>
        <v>2</v>
      </c>
      <c r="AD35" s="17">
        <f t="shared" si="3"/>
        <v>2</v>
      </c>
      <c r="AE35" s="27">
        <f t="shared" si="4"/>
        <v>4</v>
      </c>
      <c r="AF35" s="27">
        <f t="shared" si="5"/>
        <v>0</v>
      </c>
      <c r="AG35" s="19">
        <f t="shared" si="0"/>
        <v>4.9666666666666668</v>
      </c>
    </row>
    <row r="36" spans="2:33" x14ac:dyDescent="0.25">
      <c r="B36" s="236" t="s">
        <v>27</v>
      </c>
      <c r="C36" s="9"/>
      <c r="D36" s="159"/>
      <c r="E36" s="159"/>
      <c r="F36" s="4"/>
      <c r="G36" s="37"/>
      <c r="H36" s="9" t="s">
        <v>50</v>
      </c>
      <c r="I36" s="159">
        <v>1</v>
      </c>
      <c r="J36" s="159">
        <v>1</v>
      </c>
      <c r="K36" s="4">
        <v>5.66</v>
      </c>
      <c r="L36" s="10"/>
      <c r="M36" s="23" t="s">
        <v>50</v>
      </c>
      <c r="N36" s="159">
        <v>2</v>
      </c>
      <c r="O36" s="159">
        <v>3</v>
      </c>
      <c r="P36" s="4">
        <v>7.22</v>
      </c>
      <c r="Q36" s="37" t="s">
        <v>76</v>
      </c>
      <c r="R36" s="9"/>
      <c r="S36" s="159"/>
      <c r="T36" s="159"/>
      <c r="U36" s="4"/>
      <c r="V36" s="10"/>
      <c r="W36" s="259"/>
      <c r="X36" s="4"/>
      <c r="Y36" s="4"/>
      <c r="Z36" s="4"/>
      <c r="AA36" s="10"/>
      <c r="AB36" s="26">
        <f t="shared" si="1"/>
        <v>2</v>
      </c>
      <c r="AC36" s="27">
        <f t="shared" si="2"/>
        <v>3</v>
      </c>
      <c r="AD36" s="17">
        <f t="shared" si="3"/>
        <v>4</v>
      </c>
      <c r="AE36" s="27">
        <f t="shared" si="4"/>
        <v>7</v>
      </c>
      <c r="AF36" s="27">
        <f t="shared" si="5"/>
        <v>1</v>
      </c>
      <c r="AG36" s="19">
        <f t="shared" si="0"/>
        <v>6.4399999999999995</v>
      </c>
    </row>
    <row r="37" spans="2:33" x14ac:dyDescent="0.25">
      <c r="B37" s="236" t="s">
        <v>28</v>
      </c>
      <c r="C37" s="9" t="s">
        <v>50</v>
      </c>
      <c r="D37" s="159">
        <v>0</v>
      </c>
      <c r="E37" s="159">
        <v>2</v>
      </c>
      <c r="F37" s="4"/>
      <c r="G37" s="37"/>
      <c r="H37" s="9" t="s">
        <v>50</v>
      </c>
      <c r="I37" s="159">
        <v>0</v>
      </c>
      <c r="J37" s="159">
        <v>0</v>
      </c>
      <c r="K37" s="4">
        <v>3.88</v>
      </c>
      <c r="L37" s="10"/>
      <c r="M37" s="23" t="s">
        <v>50</v>
      </c>
      <c r="N37" s="159">
        <v>0</v>
      </c>
      <c r="O37" s="159">
        <v>0</v>
      </c>
      <c r="P37" s="4">
        <v>5.12</v>
      </c>
      <c r="Q37" s="37"/>
      <c r="R37" s="9" t="s">
        <v>50</v>
      </c>
      <c r="S37" s="159">
        <v>0</v>
      </c>
      <c r="T37" s="159">
        <v>1</v>
      </c>
      <c r="U37" s="4">
        <v>5.36</v>
      </c>
      <c r="V37" s="10" t="s">
        <v>76</v>
      </c>
      <c r="W37" s="259"/>
      <c r="X37" s="4"/>
      <c r="Y37" s="4"/>
      <c r="Z37" s="4"/>
      <c r="AA37" s="10"/>
      <c r="AB37" s="26">
        <f t="shared" si="1"/>
        <v>4</v>
      </c>
      <c r="AC37" s="27">
        <f t="shared" si="2"/>
        <v>0</v>
      </c>
      <c r="AD37" s="17">
        <f t="shared" si="3"/>
        <v>3</v>
      </c>
      <c r="AE37" s="27">
        <f t="shared" si="4"/>
        <v>3</v>
      </c>
      <c r="AF37" s="27">
        <f t="shared" si="5"/>
        <v>1</v>
      </c>
      <c r="AG37" s="19">
        <f t="shared" si="0"/>
        <v>4.7866666666666662</v>
      </c>
    </row>
    <row r="38" spans="2:33" x14ac:dyDescent="0.25">
      <c r="B38" s="236" t="s">
        <v>77</v>
      </c>
      <c r="C38" s="9"/>
      <c r="D38" s="159"/>
      <c r="E38" s="159"/>
      <c r="F38" s="4"/>
      <c r="G38" s="37"/>
      <c r="H38" s="9"/>
      <c r="I38" s="159"/>
      <c r="J38" s="159"/>
      <c r="K38" s="4"/>
      <c r="L38" s="10"/>
      <c r="M38" s="23"/>
      <c r="N38" s="159"/>
      <c r="O38" s="159"/>
      <c r="P38" s="4"/>
      <c r="Q38" s="37"/>
      <c r="R38" s="9"/>
      <c r="S38" s="159"/>
      <c r="T38" s="159"/>
      <c r="U38" s="4"/>
      <c r="V38" s="10"/>
      <c r="W38" s="259"/>
      <c r="X38" s="4"/>
      <c r="Y38" s="4"/>
      <c r="Z38" s="4"/>
      <c r="AA38" s="10"/>
      <c r="AB38" s="26">
        <f t="shared" si="1"/>
        <v>0</v>
      </c>
      <c r="AC38" s="27">
        <f t="shared" si="2"/>
        <v>0</v>
      </c>
      <c r="AD38" s="17">
        <f t="shared" si="3"/>
        <v>0</v>
      </c>
      <c r="AE38" s="27">
        <f t="shared" si="4"/>
        <v>0</v>
      </c>
      <c r="AF38" s="27">
        <f t="shared" si="5"/>
        <v>0</v>
      </c>
      <c r="AG38" s="19" t="str">
        <f t="shared" si="0"/>
        <v>-</v>
      </c>
    </row>
    <row r="39" spans="2:33" x14ac:dyDescent="0.25">
      <c r="B39" s="236" t="s">
        <v>29</v>
      </c>
      <c r="C39" s="9"/>
      <c r="D39" s="159"/>
      <c r="E39" s="159"/>
      <c r="F39" s="4"/>
      <c r="G39" s="37"/>
      <c r="H39" s="9" t="s">
        <v>50</v>
      </c>
      <c r="I39" s="159">
        <v>0</v>
      </c>
      <c r="J39" s="159">
        <v>0</v>
      </c>
      <c r="K39" s="4">
        <v>4.88</v>
      </c>
      <c r="L39" s="10"/>
      <c r="M39" s="23" t="s">
        <v>50</v>
      </c>
      <c r="N39" s="159">
        <v>1</v>
      </c>
      <c r="O39" s="159">
        <v>1</v>
      </c>
      <c r="P39" s="4">
        <v>5.84</v>
      </c>
      <c r="Q39" s="37" t="s">
        <v>76</v>
      </c>
      <c r="R39" s="9"/>
      <c r="S39" s="159"/>
      <c r="T39" s="159"/>
      <c r="U39" s="4"/>
      <c r="V39" s="10"/>
      <c r="W39" s="259"/>
      <c r="X39" s="4"/>
      <c r="Y39" s="4"/>
      <c r="Z39" s="4"/>
      <c r="AA39" s="10"/>
      <c r="AB39" s="26">
        <f t="shared" si="1"/>
        <v>2</v>
      </c>
      <c r="AC39" s="27">
        <f t="shared" si="2"/>
        <v>1</v>
      </c>
      <c r="AD39" s="17">
        <f t="shared" si="3"/>
        <v>1</v>
      </c>
      <c r="AE39" s="27">
        <f t="shared" si="4"/>
        <v>2</v>
      </c>
      <c r="AF39" s="27">
        <f t="shared" si="5"/>
        <v>1</v>
      </c>
      <c r="AG39" s="19">
        <f t="shared" si="0"/>
        <v>5.3599999999999994</v>
      </c>
    </row>
    <row r="40" spans="2:33" x14ac:dyDescent="0.25">
      <c r="B40" s="236" t="s">
        <v>30</v>
      </c>
      <c r="C40" s="9"/>
      <c r="D40" s="159"/>
      <c r="E40" s="159"/>
      <c r="F40" s="4"/>
      <c r="G40" s="37"/>
      <c r="H40" s="9" t="s">
        <v>50</v>
      </c>
      <c r="I40" s="159">
        <v>2</v>
      </c>
      <c r="J40" s="159">
        <v>1</v>
      </c>
      <c r="K40" s="4">
        <v>6.2</v>
      </c>
      <c r="L40" s="10" t="s">
        <v>76</v>
      </c>
      <c r="M40" s="23" t="s">
        <v>50</v>
      </c>
      <c r="N40" s="159">
        <v>0</v>
      </c>
      <c r="O40" s="159">
        <v>0</v>
      </c>
      <c r="P40" s="4">
        <v>5.16</v>
      </c>
      <c r="Q40" s="37"/>
      <c r="R40" s="9" t="s">
        <v>50</v>
      </c>
      <c r="S40" s="159">
        <v>2</v>
      </c>
      <c r="T40" s="159">
        <v>2</v>
      </c>
      <c r="U40" s="4">
        <v>5.64</v>
      </c>
      <c r="V40" s="10" t="s">
        <v>76</v>
      </c>
      <c r="W40" s="259"/>
      <c r="X40" s="4"/>
      <c r="Y40" s="4"/>
      <c r="Z40" s="4"/>
      <c r="AA40" s="10"/>
      <c r="AB40" s="26">
        <f t="shared" si="1"/>
        <v>3</v>
      </c>
      <c r="AC40" s="27">
        <f t="shared" si="2"/>
        <v>4</v>
      </c>
      <c r="AD40" s="17">
        <f t="shared" si="3"/>
        <v>3</v>
      </c>
      <c r="AE40" s="27">
        <f t="shared" si="4"/>
        <v>7</v>
      </c>
      <c r="AF40" s="27">
        <f t="shared" si="5"/>
        <v>2</v>
      </c>
      <c r="AG40" s="19">
        <f t="shared" si="0"/>
        <v>5.666666666666667</v>
      </c>
    </row>
    <row r="41" spans="2:33" x14ac:dyDescent="0.25">
      <c r="B41" s="236" t="s">
        <v>31</v>
      </c>
      <c r="C41" s="9" t="s">
        <v>50</v>
      </c>
      <c r="D41" s="159">
        <v>0</v>
      </c>
      <c r="E41" s="159">
        <v>0</v>
      </c>
      <c r="F41" s="4"/>
      <c r="G41" s="37"/>
      <c r="H41" s="9" t="s">
        <v>50</v>
      </c>
      <c r="I41" s="159">
        <v>2</v>
      </c>
      <c r="J41" s="159">
        <v>1</v>
      </c>
      <c r="K41" s="4">
        <v>5</v>
      </c>
      <c r="L41" s="10"/>
      <c r="M41" s="23" t="s">
        <v>50</v>
      </c>
      <c r="N41" s="159">
        <v>0</v>
      </c>
      <c r="O41" s="159">
        <v>0</v>
      </c>
      <c r="P41" s="4">
        <v>5.44</v>
      </c>
      <c r="Q41" s="37"/>
      <c r="R41" s="9" t="s">
        <v>50</v>
      </c>
      <c r="S41" s="159">
        <v>0</v>
      </c>
      <c r="T41" s="159">
        <v>1</v>
      </c>
      <c r="U41" s="4">
        <v>4.9400000000000004</v>
      </c>
      <c r="V41" s="10"/>
      <c r="W41" s="259"/>
      <c r="X41" s="4"/>
      <c r="Y41" s="4"/>
      <c r="Z41" s="4"/>
      <c r="AA41" s="10"/>
      <c r="AB41" s="26">
        <f t="shared" si="1"/>
        <v>4</v>
      </c>
      <c r="AC41" s="27">
        <f t="shared" si="2"/>
        <v>2</v>
      </c>
      <c r="AD41" s="17">
        <f t="shared" si="3"/>
        <v>2</v>
      </c>
      <c r="AE41" s="27">
        <f t="shared" si="4"/>
        <v>4</v>
      </c>
      <c r="AF41" s="27">
        <f t="shared" si="5"/>
        <v>0</v>
      </c>
      <c r="AG41" s="19">
        <f t="shared" si="0"/>
        <v>5.1266666666666678</v>
      </c>
    </row>
    <row r="42" spans="2:33" x14ac:dyDescent="0.25">
      <c r="B42" s="236" t="s">
        <v>32</v>
      </c>
      <c r="C42" s="9" t="s">
        <v>50</v>
      </c>
      <c r="D42" s="159">
        <v>2</v>
      </c>
      <c r="E42" s="159">
        <v>0</v>
      </c>
      <c r="F42" s="4"/>
      <c r="G42" s="37" t="s">
        <v>76</v>
      </c>
      <c r="H42" s="9" t="s">
        <v>50</v>
      </c>
      <c r="I42" s="159">
        <v>0</v>
      </c>
      <c r="J42" s="159">
        <v>2</v>
      </c>
      <c r="K42" s="4">
        <v>5.92</v>
      </c>
      <c r="L42" s="10" t="s">
        <v>76</v>
      </c>
      <c r="M42" s="23" t="s">
        <v>50</v>
      </c>
      <c r="N42" s="159">
        <v>2</v>
      </c>
      <c r="O42" s="159">
        <v>1</v>
      </c>
      <c r="P42" s="4">
        <v>6.06</v>
      </c>
      <c r="Q42" s="37"/>
      <c r="R42" s="9" t="s">
        <v>50</v>
      </c>
      <c r="S42" s="159">
        <v>1</v>
      </c>
      <c r="T42" s="159">
        <v>1</v>
      </c>
      <c r="U42" s="4">
        <v>5.58</v>
      </c>
      <c r="V42" s="10"/>
      <c r="W42" s="259"/>
      <c r="X42" s="4"/>
      <c r="Y42" s="4"/>
      <c r="Z42" s="4"/>
      <c r="AA42" s="10"/>
      <c r="AB42" s="26">
        <f t="shared" si="1"/>
        <v>4</v>
      </c>
      <c r="AC42" s="27">
        <f t="shared" si="2"/>
        <v>5</v>
      </c>
      <c r="AD42" s="17">
        <f t="shared" si="3"/>
        <v>4</v>
      </c>
      <c r="AE42" s="27">
        <f t="shared" si="4"/>
        <v>9</v>
      </c>
      <c r="AF42" s="27">
        <f t="shared" si="5"/>
        <v>2</v>
      </c>
      <c r="AG42" s="19">
        <f t="shared" si="0"/>
        <v>5.8533333333333344</v>
      </c>
    </row>
    <row r="43" spans="2:33" x14ac:dyDescent="0.25">
      <c r="B43" s="236" t="s">
        <v>33</v>
      </c>
      <c r="C43" s="9"/>
      <c r="D43" s="159"/>
      <c r="E43" s="159"/>
      <c r="F43" s="4"/>
      <c r="G43" s="37"/>
      <c r="H43" s="9"/>
      <c r="I43" s="159"/>
      <c r="J43" s="159"/>
      <c r="K43" s="4"/>
      <c r="L43" s="10"/>
      <c r="M43" s="23" t="s">
        <v>50</v>
      </c>
      <c r="N43" s="159">
        <v>0</v>
      </c>
      <c r="O43" s="159">
        <v>0</v>
      </c>
      <c r="P43" s="4">
        <v>3.88</v>
      </c>
      <c r="Q43" s="37"/>
      <c r="R43" s="9"/>
      <c r="S43" s="159"/>
      <c r="T43" s="159"/>
      <c r="U43" s="4"/>
      <c r="V43" s="10"/>
      <c r="W43" s="259"/>
      <c r="X43" s="4"/>
      <c r="Y43" s="4"/>
      <c r="Z43" s="4"/>
      <c r="AA43" s="10"/>
      <c r="AB43" s="26">
        <f t="shared" si="1"/>
        <v>1</v>
      </c>
      <c r="AC43" s="27">
        <f t="shared" si="2"/>
        <v>0</v>
      </c>
      <c r="AD43" s="17">
        <f t="shared" si="3"/>
        <v>0</v>
      </c>
      <c r="AE43" s="27">
        <f t="shared" si="4"/>
        <v>0</v>
      </c>
      <c r="AF43" s="27">
        <f t="shared" si="5"/>
        <v>0</v>
      </c>
      <c r="AG43" s="19">
        <f t="shared" si="0"/>
        <v>3.88</v>
      </c>
    </row>
    <row r="44" spans="2:33" x14ac:dyDescent="0.25">
      <c r="B44" s="236" t="s">
        <v>34</v>
      </c>
      <c r="C44" s="9"/>
      <c r="D44" s="159"/>
      <c r="E44" s="159"/>
      <c r="F44" s="4"/>
      <c r="G44" s="37"/>
      <c r="H44" s="9" t="s">
        <v>50</v>
      </c>
      <c r="I44" s="159">
        <v>0</v>
      </c>
      <c r="J44" s="159">
        <v>1</v>
      </c>
      <c r="K44" s="4">
        <v>4.92</v>
      </c>
      <c r="L44" s="10"/>
      <c r="M44" s="23" t="s">
        <v>50</v>
      </c>
      <c r="N44" s="159">
        <v>0</v>
      </c>
      <c r="O44" s="159">
        <v>1</v>
      </c>
      <c r="P44" s="4">
        <v>4.5</v>
      </c>
      <c r="Q44" s="37"/>
      <c r="R44" s="9"/>
      <c r="S44" s="159"/>
      <c r="T44" s="159"/>
      <c r="U44" s="4"/>
      <c r="V44" s="10"/>
      <c r="W44" s="259"/>
      <c r="X44" s="4"/>
      <c r="Y44" s="4"/>
      <c r="Z44" s="4"/>
      <c r="AA44" s="10"/>
      <c r="AB44" s="26">
        <f t="shared" si="1"/>
        <v>2</v>
      </c>
      <c r="AC44" s="27">
        <f t="shared" si="2"/>
        <v>0</v>
      </c>
      <c r="AD44" s="17">
        <f t="shared" si="3"/>
        <v>2</v>
      </c>
      <c r="AE44" s="27">
        <f t="shared" si="4"/>
        <v>2</v>
      </c>
      <c r="AF44" s="27">
        <f t="shared" si="5"/>
        <v>0</v>
      </c>
      <c r="AG44" s="19">
        <f t="shared" si="0"/>
        <v>4.71</v>
      </c>
    </row>
    <row r="45" spans="2:33" x14ac:dyDescent="0.25">
      <c r="B45" s="236" t="s">
        <v>35</v>
      </c>
      <c r="C45" s="9" t="s">
        <v>50</v>
      </c>
      <c r="D45" s="159">
        <v>0</v>
      </c>
      <c r="E45" s="159">
        <v>0</v>
      </c>
      <c r="F45" s="4"/>
      <c r="G45" s="37"/>
      <c r="H45" s="9" t="s">
        <v>50</v>
      </c>
      <c r="I45" s="159">
        <v>0</v>
      </c>
      <c r="J45" s="159">
        <v>0</v>
      </c>
      <c r="K45" s="4">
        <v>4.62</v>
      </c>
      <c r="L45" s="10"/>
      <c r="M45" s="23"/>
      <c r="N45" s="159"/>
      <c r="O45" s="159"/>
      <c r="P45" s="4"/>
      <c r="Q45" s="37"/>
      <c r="R45" s="9" t="s">
        <v>50</v>
      </c>
      <c r="S45" s="159">
        <v>0</v>
      </c>
      <c r="T45" s="159">
        <v>0</v>
      </c>
      <c r="U45" s="4">
        <v>4.3600000000000003</v>
      </c>
      <c r="V45" s="10"/>
      <c r="W45" s="259"/>
      <c r="X45" s="4"/>
      <c r="Y45" s="4"/>
      <c r="Z45" s="4"/>
      <c r="AA45" s="10"/>
      <c r="AB45" s="26">
        <f t="shared" si="1"/>
        <v>3</v>
      </c>
      <c r="AC45" s="27">
        <f t="shared" si="2"/>
        <v>0</v>
      </c>
      <c r="AD45" s="17">
        <f t="shared" si="3"/>
        <v>0</v>
      </c>
      <c r="AE45" s="27">
        <f t="shared" si="4"/>
        <v>0</v>
      </c>
      <c r="AF45" s="27">
        <f t="shared" si="5"/>
        <v>0</v>
      </c>
      <c r="AG45" s="19">
        <f t="shared" si="0"/>
        <v>4.49</v>
      </c>
    </row>
    <row r="46" spans="2:33" x14ac:dyDescent="0.25">
      <c r="B46" s="236" t="s">
        <v>36</v>
      </c>
      <c r="C46" s="9"/>
      <c r="D46" s="159"/>
      <c r="E46" s="159"/>
      <c r="F46" s="4"/>
      <c r="G46" s="37"/>
      <c r="H46" s="9"/>
      <c r="I46" s="159"/>
      <c r="J46" s="159"/>
      <c r="K46" s="4"/>
      <c r="L46" s="10"/>
      <c r="M46" s="23"/>
      <c r="N46" s="159"/>
      <c r="O46" s="159"/>
      <c r="P46" s="4"/>
      <c r="Q46" s="37"/>
      <c r="R46" s="9"/>
      <c r="S46" s="159"/>
      <c r="T46" s="159"/>
      <c r="U46" s="4"/>
      <c r="V46" s="10"/>
      <c r="W46" s="259"/>
      <c r="X46" s="4"/>
      <c r="Y46" s="4"/>
      <c r="Z46" s="4"/>
      <c r="AA46" s="10"/>
      <c r="AB46" s="111">
        <f t="shared" si="1"/>
        <v>0</v>
      </c>
      <c r="AC46" s="27">
        <f t="shared" si="2"/>
        <v>0</v>
      </c>
      <c r="AD46" s="65">
        <f t="shared" si="3"/>
        <v>0</v>
      </c>
      <c r="AE46" s="65">
        <f t="shared" si="4"/>
        <v>0</v>
      </c>
      <c r="AF46" s="27">
        <f t="shared" si="5"/>
        <v>0</v>
      </c>
      <c r="AG46" s="69" t="str">
        <f t="shared" si="0"/>
        <v>-</v>
      </c>
    </row>
    <row r="47" spans="2:33" ht="15.75" thickBot="1" x14ac:dyDescent="0.3">
      <c r="B47" s="236" t="s">
        <v>37</v>
      </c>
      <c r="C47" s="9" t="s">
        <v>50</v>
      </c>
      <c r="D47" s="159">
        <v>0</v>
      </c>
      <c r="E47" s="159">
        <v>0</v>
      </c>
      <c r="F47" s="4"/>
      <c r="G47" s="37"/>
      <c r="H47" s="9" t="s">
        <v>50</v>
      </c>
      <c r="I47" s="159">
        <v>0</v>
      </c>
      <c r="J47" s="159">
        <v>0</v>
      </c>
      <c r="K47" s="4">
        <v>5.38</v>
      </c>
      <c r="L47" s="10"/>
      <c r="M47" s="23" t="s">
        <v>50</v>
      </c>
      <c r="N47" s="159">
        <v>0</v>
      </c>
      <c r="O47" s="159">
        <v>0</v>
      </c>
      <c r="P47" s="4">
        <v>6.22</v>
      </c>
      <c r="Q47" s="37" t="s">
        <v>76</v>
      </c>
      <c r="R47" s="9"/>
      <c r="S47" s="159"/>
      <c r="T47" s="159"/>
      <c r="U47" s="4"/>
      <c r="V47" s="10"/>
      <c r="W47" s="259"/>
      <c r="X47" s="4"/>
      <c r="Y47" s="4"/>
      <c r="Z47" s="4"/>
      <c r="AA47" s="10"/>
      <c r="AB47" s="16">
        <f t="shared" ref="AB47" si="6">COUNTIF(C47:Z47,"P")</f>
        <v>3</v>
      </c>
      <c r="AC47" s="27">
        <f t="shared" si="2"/>
        <v>0</v>
      </c>
      <c r="AD47" s="18">
        <f t="shared" ref="AD47" si="7">SUM(E47,J47,O47,T47,Y47)</f>
        <v>0</v>
      </c>
      <c r="AE47" s="18">
        <f t="shared" ref="AE47" si="8">SUM(AC47+AD47)</f>
        <v>0</v>
      </c>
      <c r="AF47" s="27">
        <f t="shared" si="5"/>
        <v>1</v>
      </c>
      <c r="AG47" s="25">
        <f t="shared" ref="AG47" si="9">IFERROR(AVERAGE(F47,K47,P47,U47,Z47),"-")</f>
        <v>5.8</v>
      </c>
    </row>
    <row r="48" spans="2:33" ht="15.75" thickBot="1" x14ac:dyDescent="0.3">
      <c r="B48" s="237" t="s">
        <v>85</v>
      </c>
      <c r="C48" s="9"/>
      <c r="D48" s="159"/>
      <c r="E48" s="159"/>
      <c r="F48" s="4"/>
      <c r="G48" s="37"/>
      <c r="H48" s="9"/>
      <c r="I48" s="159"/>
      <c r="J48" s="159"/>
      <c r="K48" s="4"/>
      <c r="L48" s="10"/>
      <c r="M48" s="23"/>
      <c r="N48" s="159"/>
      <c r="O48" s="159"/>
      <c r="P48" s="4"/>
      <c r="Q48" s="37"/>
      <c r="R48" s="9"/>
      <c r="S48" s="159"/>
      <c r="T48" s="159"/>
      <c r="U48" s="4"/>
      <c r="V48" s="10"/>
      <c r="W48" s="259"/>
      <c r="X48" s="4"/>
      <c r="Y48" s="4"/>
      <c r="Z48" s="4"/>
      <c r="AA48" s="10"/>
      <c r="AB48" s="16">
        <f t="shared" ref="AB48" si="10">COUNTIF(C48:Z48,"P")</f>
        <v>0</v>
      </c>
      <c r="AC48" s="27">
        <f t="shared" si="2"/>
        <v>0</v>
      </c>
      <c r="AD48" s="18">
        <f t="shared" ref="AD48" si="11">SUM(E48,J48,O48,T48,Y48)</f>
        <v>0</v>
      </c>
      <c r="AE48" s="18">
        <f t="shared" ref="AE48" si="12">SUM(AC48+AD48)</f>
        <v>0</v>
      </c>
      <c r="AF48" s="27">
        <f t="shared" si="5"/>
        <v>0</v>
      </c>
      <c r="AG48" s="25" t="str">
        <f t="shared" ref="AG48" si="13">IFERROR(AVERAGE(F48,K48,P48,U48,Z48),"-")</f>
        <v>-</v>
      </c>
    </row>
    <row r="49" spans="2:33" ht="15.75" thickBot="1" x14ac:dyDescent="0.3">
      <c r="B49" s="236" t="s">
        <v>38</v>
      </c>
      <c r="C49" s="9"/>
      <c r="D49" s="159"/>
      <c r="E49" s="159"/>
      <c r="F49" s="4"/>
      <c r="G49" s="37"/>
      <c r="H49" s="9"/>
      <c r="I49" s="159"/>
      <c r="J49" s="159"/>
      <c r="K49" s="4"/>
      <c r="L49" s="10"/>
      <c r="M49" s="23"/>
      <c r="N49" s="159"/>
      <c r="O49" s="159"/>
      <c r="P49" s="4"/>
      <c r="Q49" s="37"/>
      <c r="R49" s="9"/>
      <c r="S49" s="159"/>
      <c r="T49" s="137"/>
      <c r="U49" s="4"/>
      <c r="V49" s="10"/>
      <c r="W49" s="261"/>
      <c r="X49" s="14"/>
      <c r="Y49" s="14"/>
      <c r="Z49" s="14"/>
      <c r="AA49" s="13"/>
      <c r="AB49" s="16">
        <f t="shared" ref="AB49" si="14">COUNTIF(C49:Z49,"P")</f>
        <v>0</v>
      </c>
      <c r="AC49" s="27">
        <f t="shared" ref="AC49" si="15">SUM(D49,I49,N49,S49,X49)</f>
        <v>0</v>
      </c>
      <c r="AD49" s="18">
        <f t="shared" ref="AD49" si="16">SUM(E49,J49,O49,T49,Y49)</f>
        <v>0</v>
      </c>
      <c r="AE49" s="18">
        <f t="shared" ref="AE49" si="17">SUM(AC49+AD49)</f>
        <v>0</v>
      </c>
      <c r="AF49" s="27">
        <f t="shared" si="5"/>
        <v>0</v>
      </c>
      <c r="AG49" s="25" t="str">
        <f t="shared" ref="AG49" si="18">IFERROR(AVERAGE(F49,K49,P49,U49,Z49),"-")</f>
        <v>-</v>
      </c>
    </row>
    <row r="50" spans="2:33" ht="15.75" thickBot="1" x14ac:dyDescent="0.3">
      <c r="B50" s="236" t="s">
        <v>39</v>
      </c>
      <c r="C50" s="11" t="s">
        <v>50</v>
      </c>
      <c r="D50" s="12">
        <v>1</v>
      </c>
      <c r="E50" s="12">
        <v>1</v>
      </c>
      <c r="F50" s="14"/>
      <c r="G50" s="38"/>
      <c r="H50" s="11"/>
      <c r="I50" s="12"/>
      <c r="J50" s="12"/>
      <c r="K50" s="14"/>
      <c r="L50" s="13"/>
      <c r="M50" s="24"/>
      <c r="N50" s="12"/>
      <c r="O50" s="12"/>
      <c r="P50" s="14"/>
      <c r="Q50" s="38"/>
      <c r="R50" s="11"/>
      <c r="S50" s="12"/>
      <c r="T50" s="12"/>
      <c r="U50" s="14"/>
      <c r="V50" s="13"/>
      <c r="W50" s="261"/>
      <c r="X50" s="14"/>
      <c r="Y50" s="14"/>
      <c r="Z50" s="14"/>
      <c r="AA50" s="13"/>
      <c r="AB50" s="16">
        <f t="shared" ref="AB50" si="19">COUNTIF(C50:Z50,"P")</f>
        <v>1</v>
      </c>
      <c r="AC50" s="27">
        <f t="shared" ref="AC50" si="20">SUM(D50,I50,N50,S50,X50)</f>
        <v>1</v>
      </c>
      <c r="AD50" s="18">
        <f t="shared" ref="AD50" si="21">SUM(E50,J50,O50,T50,Y50)</f>
        <v>1</v>
      </c>
      <c r="AE50" s="18">
        <f t="shared" ref="AE50" si="22">SUM(AC50+AD50)</f>
        <v>2</v>
      </c>
      <c r="AF50" s="27">
        <f t="shared" ref="AF50" si="23">COUNTIF(G50:AA50,"F")</f>
        <v>0</v>
      </c>
      <c r="AG50" s="25" t="str">
        <f t="shared" ref="AG50" si="24">IFERROR(AVERAGE(F50,K50,P50,U50,Z50),"-")</f>
        <v>-</v>
      </c>
    </row>
    <row r="51" spans="2:33" ht="15.75" thickBot="1" x14ac:dyDescent="0.3">
      <c r="B51" s="237" t="s">
        <v>80</v>
      </c>
      <c r="C51" s="11"/>
      <c r="D51" s="12"/>
      <c r="E51" s="12"/>
      <c r="F51" s="14"/>
      <c r="G51" s="38"/>
      <c r="H51" s="11"/>
      <c r="I51" s="12"/>
      <c r="J51" s="12"/>
      <c r="K51" s="14"/>
      <c r="L51" s="13"/>
      <c r="M51" s="24"/>
      <c r="N51" s="12"/>
      <c r="O51" s="12"/>
      <c r="P51" s="14"/>
      <c r="Q51" s="38"/>
      <c r="R51" s="11"/>
      <c r="S51" s="12"/>
      <c r="T51" s="12"/>
      <c r="U51" s="14"/>
      <c r="V51" s="13"/>
      <c r="W51" s="261"/>
      <c r="X51" s="14"/>
      <c r="Y51" s="14"/>
      <c r="Z51" s="14"/>
      <c r="AA51" s="13"/>
      <c r="AB51" s="16">
        <f t="shared" ref="AB51:AB52" si="25">COUNTIF(C51:Z51,"P")</f>
        <v>0</v>
      </c>
      <c r="AC51" s="27">
        <f t="shared" ref="AC51:AC52" si="26">SUM(D51,I51,N51,S51,X51)</f>
        <v>0</v>
      </c>
      <c r="AD51" s="18">
        <f t="shared" ref="AD51:AD52" si="27">SUM(E51,J51,O51,T51,Y51)</f>
        <v>0</v>
      </c>
      <c r="AE51" s="18">
        <f t="shared" ref="AE51:AE52" si="28">SUM(AC51+AD51)</f>
        <v>0</v>
      </c>
      <c r="AF51" s="27">
        <f t="shared" ref="AF51:AF52" si="29">COUNTIF(G51:AA51,"F")</f>
        <v>0</v>
      </c>
      <c r="AG51" s="25" t="str">
        <f t="shared" ref="AG51:AG52" si="30">IFERROR(AVERAGE(F51,K51,P51,U51,Z51),"-")</f>
        <v>-</v>
      </c>
    </row>
    <row r="52" spans="2:33" ht="15.75" thickBot="1" x14ac:dyDescent="0.3">
      <c r="B52" s="238" t="s">
        <v>81</v>
      </c>
      <c r="C52" s="11"/>
      <c r="D52" s="12"/>
      <c r="E52" s="12"/>
      <c r="F52" s="14"/>
      <c r="G52" s="38"/>
      <c r="H52" s="11"/>
      <c r="I52" s="12"/>
      <c r="J52" s="12"/>
      <c r="K52" s="14"/>
      <c r="L52" s="13"/>
      <c r="M52" s="24"/>
      <c r="N52" s="12"/>
      <c r="O52" s="12"/>
      <c r="P52" s="14"/>
      <c r="Q52" s="38"/>
      <c r="R52" s="11"/>
      <c r="S52" s="12"/>
      <c r="T52" s="12"/>
      <c r="U52" s="14"/>
      <c r="V52" s="13"/>
      <c r="W52" s="261"/>
      <c r="X52" s="14"/>
      <c r="Y52" s="14"/>
      <c r="Z52" s="14"/>
      <c r="AA52" s="13"/>
      <c r="AB52" s="16">
        <f t="shared" si="25"/>
        <v>0</v>
      </c>
      <c r="AC52" s="268">
        <f t="shared" si="26"/>
        <v>0</v>
      </c>
      <c r="AD52" s="18">
        <f t="shared" si="27"/>
        <v>0</v>
      </c>
      <c r="AE52" s="18">
        <f t="shared" si="28"/>
        <v>0</v>
      </c>
      <c r="AF52" s="268">
        <f t="shared" si="29"/>
        <v>0</v>
      </c>
      <c r="AG52" s="25" t="str">
        <f t="shared" si="30"/>
        <v>-</v>
      </c>
    </row>
    <row r="53" spans="2:33" x14ac:dyDescent="0.25">
      <c r="B53" s="93"/>
      <c r="C53" s="166"/>
      <c r="D53" s="166"/>
      <c r="E53" s="166"/>
      <c r="F53" s="167"/>
      <c r="G53" s="167"/>
      <c r="H53" s="166"/>
      <c r="I53" s="166"/>
      <c r="J53" s="166"/>
      <c r="K53" s="167"/>
      <c r="L53" s="167"/>
      <c r="M53" s="166"/>
      <c r="N53" s="166"/>
      <c r="O53" s="166"/>
      <c r="P53" s="167"/>
      <c r="Q53" s="167"/>
      <c r="R53" s="166"/>
      <c r="S53" s="166"/>
      <c r="T53" s="166"/>
      <c r="U53" s="167"/>
      <c r="V53" s="167"/>
      <c r="W53" s="167"/>
      <c r="X53" s="167"/>
      <c r="Y53" s="167"/>
      <c r="Z53" s="167"/>
      <c r="AA53" s="167"/>
    </row>
    <row r="54" spans="2:33" x14ac:dyDescent="0.25">
      <c r="B54" s="93"/>
      <c r="C54" s="166"/>
      <c r="D54" s="166"/>
      <c r="E54" s="166"/>
      <c r="F54" s="167"/>
      <c r="G54" s="167"/>
      <c r="H54" s="166"/>
      <c r="I54" s="166"/>
      <c r="J54" s="166"/>
      <c r="K54" s="167"/>
      <c r="L54" s="167"/>
      <c r="M54" s="166"/>
      <c r="N54" s="166"/>
      <c r="O54" s="166"/>
      <c r="P54" s="167"/>
      <c r="Q54" s="167"/>
      <c r="R54" s="166"/>
      <c r="S54" s="166"/>
      <c r="T54" s="166"/>
      <c r="U54" s="167"/>
      <c r="V54" s="167"/>
      <c r="W54" s="167"/>
      <c r="X54" s="167"/>
      <c r="Y54" s="167"/>
      <c r="Z54" s="167"/>
      <c r="AA54" s="167"/>
    </row>
    <row r="55" spans="2:33" x14ac:dyDescent="0.25">
      <c r="B55" s="93"/>
      <c r="C55" s="166"/>
      <c r="D55" s="166"/>
      <c r="E55" s="166"/>
      <c r="F55" s="167"/>
      <c r="G55" s="167"/>
      <c r="H55" s="166"/>
      <c r="I55" s="166"/>
      <c r="J55" s="166"/>
      <c r="K55" s="167"/>
      <c r="L55" s="167"/>
      <c r="M55" s="166"/>
      <c r="N55" s="166"/>
      <c r="O55" s="166"/>
      <c r="P55" s="167"/>
      <c r="Q55" s="167"/>
      <c r="R55" s="166"/>
      <c r="S55" s="166"/>
      <c r="T55" s="166"/>
      <c r="U55" s="167"/>
      <c r="V55" s="167"/>
      <c r="W55" s="167"/>
      <c r="X55" s="167"/>
      <c r="Y55" s="167"/>
      <c r="Z55" s="167"/>
      <c r="AA55" s="167"/>
    </row>
    <row r="56" spans="2:33" x14ac:dyDescent="0.25">
      <c r="B56" s="93"/>
      <c r="C56" s="166"/>
      <c r="D56" s="166"/>
      <c r="E56" s="166"/>
      <c r="F56" s="167"/>
      <c r="G56" s="167"/>
      <c r="H56" s="166"/>
      <c r="I56" s="166"/>
      <c r="J56" s="166"/>
      <c r="K56" s="167"/>
      <c r="L56" s="167"/>
      <c r="M56" s="166"/>
      <c r="N56" s="166"/>
      <c r="O56" s="166"/>
      <c r="P56" s="167"/>
      <c r="Q56" s="167"/>
      <c r="R56" s="166"/>
      <c r="S56" s="166"/>
      <c r="T56" s="166"/>
      <c r="U56" s="167"/>
      <c r="V56" s="167"/>
      <c r="W56" s="167"/>
      <c r="X56" s="167"/>
      <c r="Y56" s="167"/>
      <c r="Z56" s="167"/>
      <c r="AA56" s="167"/>
    </row>
    <row r="57" spans="2:33" x14ac:dyDescent="0.25">
      <c r="B57" s="93"/>
      <c r="C57" s="166"/>
      <c r="D57" s="166"/>
      <c r="E57" s="166"/>
      <c r="F57" s="167"/>
      <c r="G57" s="167"/>
      <c r="H57" s="166"/>
      <c r="I57" s="166"/>
      <c r="J57" s="166"/>
      <c r="K57" s="167"/>
      <c r="L57" s="167"/>
      <c r="M57" s="166"/>
      <c r="N57" s="166"/>
      <c r="O57" s="166"/>
      <c r="P57" s="167"/>
      <c r="Q57" s="167"/>
      <c r="R57" s="166"/>
      <c r="S57" s="166"/>
      <c r="T57" s="166"/>
      <c r="U57" s="167"/>
      <c r="V57" s="167"/>
      <c r="W57" s="167"/>
      <c r="X57" s="167"/>
      <c r="Y57" s="167"/>
      <c r="Z57" s="167"/>
      <c r="AA57" s="167"/>
    </row>
  </sheetData>
  <sortState xmlns:xlrd2="http://schemas.microsoft.com/office/spreadsheetml/2017/richdata2" ref="B5:AA57">
    <sortCondition ref="B5:B57"/>
  </sortState>
  <mergeCells count="13">
    <mergeCell ref="B1:AG2"/>
    <mergeCell ref="B3:B4"/>
    <mergeCell ref="AB3:AB4"/>
    <mergeCell ref="AC3:AC4"/>
    <mergeCell ref="AD3:AD4"/>
    <mergeCell ref="AG3:AG4"/>
    <mergeCell ref="AE3:AE4"/>
    <mergeCell ref="C3:G3"/>
    <mergeCell ref="H3:L3"/>
    <mergeCell ref="M3:Q3"/>
    <mergeCell ref="R3:V3"/>
    <mergeCell ref="W3:AA3"/>
    <mergeCell ref="AF3:AF4"/>
  </mergeCells>
  <conditionalFormatting sqref="AB5:AB52">
    <cfRule type="dataBar" priority="28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{9CA40DD7-F8D1-43C7-B39C-F6A0D89303A7}</x14:id>
        </ext>
      </extLst>
    </cfRule>
  </conditionalFormatting>
  <conditionalFormatting sqref="AC3:AC1048576">
    <cfRule type="top10" dxfId="112" priority="5" rank="1"/>
    <cfRule type="top10" dxfId="111" priority="6" rank="5"/>
  </conditionalFormatting>
  <conditionalFormatting sqref="AD3:AF3 AD4 AD5:AF1048576">
    <cfRule type="top10" dxfId="110" priority="3" rank="1"/>
    <cfRule type="top10" dxfId="109" priority="4" rank="5"/>
  </conditionalFormatting>
  <conditionalFormatting sqref="AG3:AG1048576">
    <cfRule type="top10" dxfId="1" priority="1058" rank="1"/>
    <cfRule type="top10" dxfId="0" priority="1059" rank="5"/>
  </conditionalFormatting>
  <pageMargins left="0.511811024" right="0.511811024" top="0.78740157499999996" bottom="0.78740157499999996" header="0.31496062000000002" footer="0.31496062000000002"/>
  <pageSetup paperSize="9" orientation="portrait" horizontalDpi="4294967292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CA40DD7-F8D1-43C7-B39C-F6A0D89303A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AB5:AB52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4455-6589-44FC-B83E-82CDE574151B}">
  <sheetPr codeName="Planilha4"/>
  <dimension ref="A1:AG57"/>
  <sheetViews>
    <sheetView showGridLines="0" zoomScale="80" zoomScaleNormal="80" workbookViewId="0">
      <pane ySplit="4" topLeftCell="A5" activePane="bottomLeft" state="frozen"/>
      <selection activeCell="S25" sqref="S25"/>
      <selection pane="bottomLeft" activeCell="B47" sqref="B47"/>
    </sheetView>
  </sheetViews>
  <sheetFormatPr defaultRowHeight="15" x14ac:dyDescent="0.25"/>
  <cols>
    <col min="1" max="1" width="7.140625" customWidth="1"/>
    <col min="2" max="2" width="34.28515625" style="6" customWidth="1"/>
    <col min="3" max="3" width="9.140625" customWidth="1"/>
    <col min="6" max="7" width="9.140625" style="5"/>
    <col min="11" max="12" width="9.140625" style="5"/>
    <col min="16" max="17" width="9.140625" style="5"/>
    <col min="21" max="27" width="9.140625" style="5"/>
    <col min="28" max="28" width="14.7109375" customWidth="1"/>
    <col min="29" max="29" width="14.5703125" style="2" customWidth="1"/>
    <col min="30" max="30" width="13.85546875" style="2" customWidth="1"/>
    <col min="31" max="32" width="7.7109375" style="2" customWidth="1"/>
    <col min="33" max="33" width="13.5703125" style="5" customWidth="1"/>
  </cols>
  <sheetData>
    <row r="1" spans="1:33" ht="15" customHeight="1" x14ac:dyDescent="0.25">
      <c r="B1" s="271" t="s">
        <v>42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</row>
    <row r="2" spans="1:33" ht="15" customHeight="1" thickBot="1" x14ac:dyDescent="0.3">
      <c r="A2" s="1"/>
      <c r="B2" s="274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75"/>
      <c r="AC2" s="275"/>
      <c r="AD2" s="275"/>
      <c r="AE2" s="275"/>
      <c r="AF2" s="275"/>
      <c r="AG2" s="275"/>
    </row>
    <row r="3" spans="1:33" x14ac:dyDescent="0.25">
      <c r="B3" s="279" t="s">
        <v>0</v>
      </c>
      <c r="C3" s="303">
        <v>45692</v>
      </c>
      <c r="D3" s="304"/>
      <c r="E3" s="304"/>
      <c r="F3" s="304"/>
      <c r="G3" s="304"/>
      <c r="H3" s="287">
        <f>C3+7</f>
        <v>45699</v>
      </c>
      <c r="I3" s="288"/>
      <c r="J3" s="288"/>
      <c r="K3" s="288"/>
      <c r="L3" s="289"/>
      <c r="M3" s="290">
        <f>H3+7</f>
        <v>45706</v>
      </c>
      <c r="N3" s="290"/>
      <c r="O3" s="290"/>
      <c r="P3" s="290"/>
      <c r="Q3" s="290"/>
      <c r="R3" s="291">
        <f>M3+7</f>
        <v>45713</v>
      </c>
      <c r="S3" s="292"/>
      <c r="T3" s="292"/>
      <c r="U3" s="292"/>
      <c r="V3" s="293"/>
      <c r="W3" s="305" t="s">
        <v>41</v>
      </c>
      <c r="X3" s="305"/>
      <c r="Y3" s="305"/>
      <c r="Z3" s="305"/>
      <c r="AA3" s="306"/>
      <c r="AB3" s="279" t="s">
        <v>45</v>
      </c>
      <c r="AC3" s="281" t="s">
        <v>46</v>
      </c>
      <c r="AD3" s="281" t="s">
        <v>47</v>
      </c>
      <c r="AE3" s="281" t="s">
        <v>72</v>
      </c>
      <c r="AF3" s="160"/>
      <c r="AG3" s="299" t="s">
        <v>48</v>
      </c>
    </row>
    <row r="4" spans="1:33" ht="15.75" thickBot="1" x14ac:dyDescent="0.3">
      <c r="B4" s="301"/>
      <c r="C4" s="191" t="s">
        <v>49</v>
      </c>
      <c r="D4" s="192" t="s">
        <v>43</v>
      </c>
      <c r="E4" s="192" t="s">
        <v>2</v>
      </c>
      <c r="F4" s="194" t="s">
        <v>40</v>
      </c>
      <c r="G4" s="241"/>
      <c r="H4" s="195" t="s">
        <v>49</v>
      </c>
      <c r="I4" s="196" t="s">
        <v>43</v>
      </c>
      <c r="J4" s="196" t="s">
        <v>2</v>
      </c>
      <c r="K4" s="198" t="s">
        <v>40</v>
      </c>
      <c r="L4" s="248"/>
      <c r="M4" s="214" t="s">
        <v>49</v>
      </c>
      <c r="N4" s="199" t="s">
        <v>44</v>
      </c>
      <c r="O4" s="199" t="s">
        <v>2</v>
      </c>
      <c r="P4" s="201" t="s">
        <v>40</v>
      </c>
      <c r="Q4" s="210"/>
      <c r="R4" s="202" t="s">
        <v>49</v>
      </c>
      <c r="S4" s="203" t="s">
        <v>43</v>
      </c>
      <c r="T4" s="203" t="s">
        <v>2</v>
      </c>
      <c r="U4" s="205" t="s">
        <v>40</v>
      </c>
      <c r="V4" s="264"/>
      <c r="W4" s="262" t="s">
        <v>49</v>
      </c>
      <c r="X4" s="211" t="s">
        <v>43</v>
      </c>
      <c r="Y4" s="211" t="s">
        <v>2</v>
      </c>
      <c r="Z4" s="212" t="s">
        <v>40</v>
      </c>
      <c r="AA4" s="213"/>
      <c r="AB4" s="301"/>
      <c r="AC4" s="302"/>
      <c r="AD4" s="302"/>
      <c r="AE4" s="302"/>
      <c r="AF4" s="164"/>
      <c r="AG4" s="300"/>
    </row>
    <row r="5" spans="1:33" x14ac:dyDescent="0.25">
      <c r="B5" s="236" t="s">
        <v>3</v>
      </c>
      <c r="C5" s="165" t="s">
        <v>50</v>
      </c>
      <c r="D5" s="186">
        <v>1</v>
      </c>
      <c r="E5" s="186">
        <v>0</v>
      </c>
      <c r="F5" s="188">
        <v>5.16</v>
      </c>
      <c r="G5" s="233"/>
      <c r="H5" s="165" t="s">
        <v>50</v>
      </c>
      <c r="I5" s="186">
        <v>1</v>
      </c>
      <c r="J5" s="186">
        <v>4</v>
      </c>
      <c r="K5" s="188">
        <v>5.54</v>
      </c>
      <c r="L5" s="234"/>
      <c r="M5" s="235"/>
      <c r="N5" s="186"/>
      <c r="O5" s="186"/>
      <c r="P5" s="188"/>
      <c r="Q5" s="233"/>
      <c r="R5" s="165" t="s">
        <v>50</v>
      </c>
      <c r="S5" s="186">
        <v>1</v>
      </c>
      <c r="T5" s="186">
        <v>1</v>
      </c>
      <c r="U5" s="188">
        <v>6.34</v>
      </c>
      <c r="V5" s="234"/>
      <c r="W5" s="260" t="s">
        <v>41</v>
      </c>
      <c r="X5" s="224" t="s">
        <v>41</v>
      </c>
      <c r="Y5" s="224" t="s">
        <v>41</v>
      </c>
      <c r="Z5" s="188" t="s">
        <v>41</v>
      </c>
      <c r="AA5" s="234"/>
      <c r="AB5" s="15">
        <f>COUNTIF(C5:Z5,"P")</f>
        <v>3</v>
      </c>
      <c r="AC5" s="17">
        <f t="shared" ref="AC5:AC48" si="0">SUM(D5,I5,N5,S5,X5)</f>
        <v>3</v>
      </c>
      <c r="AD5" s="17">
        <f t="shared" ref="AD5:AD46" si="1">SUM(E5,J5,O5,T5,Y5)</f>
        <v>5</v>
      </c>
      <c r="AE5" s="17">
        <f>SUM(AC5+AD5)</f>
        <v>8</v>
      </c>
      <c r="AF5" s="17">
        <f>COUNTIF(G5:AA5,"F")</f>
        <v>0</v>
      </c>
      <c r="AG5" s="19">
        <f>IFERROR(AVERAGE(F5,K5,P5,U5,Z5),"-")</f>
        <v>5.68</v>
      </c>
    </row>
    <row r="6" spans="1:33" x14ac:dyDescent="0.25">
      <c r="B6" s="236" t="s">
        <v>4</v>
      </c>
      <c r="C6" s="9" t="s">
        <v>50</v>
      </c>
      <c r="D6" s="159">
        <v>0</v>
      </c>
      <c r="E6" s="159">
        <v>0</v>
      </c>
      <c r="F6" s="10">
        <v>4.6399999999999997</v>
      </c>
      <c r="G6" s="121"/>
      <c r="H6" s="9" t="s">
        <v>50</v>
      </c>
      <c r="I6" s="159">
        <v>1</v>
      </c>
      <c r="J6" s="159">
        <v>1</v>
      </c>
      <c r="K6" s="10">
        <v>5.38</v>
      </c>
      <c r="L6" s="128" t="s">
        <v>76</v>
      </c>
      <c r="M6" s="23" t="s">
        <v>50</v>
      </c>
      <c r="N6" s="159">
        <v>0</v>
      </c>
      <c r="O6" s="159">
        <v>1</v>
      </c>
      <c r="P6" s="10">
        <v>5.0999999999999996</v>
      </c>
      <c r="Q6" s="121" t="s">
        <v>76</v>
      </c>
      <c r="R6" s="9" t="s">
        <v>50</v>
      </c>
      <c r="S6" s="159">
        <v>0</v>
      </c>
      <c r="T6" s="159">
        <v>0</v>
      </c>
      <c r="U6" s="10">
        <v>5.26</v>
      </c>
      <c r="V6" s="128"/>
      <c r="W6" s="259" t="s">
        <v>41</v>
      </c>
      <c r="X6" s="4" t="s">
        <v>41</v>
      </c>
      <c r="Y6" s="4" t="s">
        <v>41</v>
      </c>
      <c r="Z6" s="10" t="s">
        <v>41</v>
      </c>
      <c r="AA6" s="128"/>
      <c r="AB6" s="15">
        <f t="shared" ref="AB6:AB46" si="2">COUNTIF(C6:Z6,"P")</f>
        <v>4</v>
      </c>
      <c r="AC6" s="17">
        <f t="shared" si="0"/>
        <v>1</v>
      </c>
      <c r="AD6" s="17">
        <f t="shared" si="1"/>
        <v>2</v>
      </c>
      <c r="AE6" s="17">
        <f t="shared" ref="AE6:AE46" si="3">SUM(AC6+AD6)</f>
        <v>3</v>
      </c>
      <c r="AF6" s="17">
        <f t="shared" ref="AF6:AF49" si="4">COUNTIF(G6:AA6,"F")</f>
        <v>2</v>
      </c>
      <c r="AG6" s="19">
        <f t="shared" ref="AG6:AG44" si="5">IFERROR(AVERAGE(F6,K6,P6,U6,Z6),"-")</f>
        <v>5.0949999999999998</v>
      </c>
    </row>
    <row r="7" spans="1:33" x14ac:dyDescent="0.25">
      <c r="B7" s="236" t="s">
        <v>5</v>
      </c>
      <c r="C7" s="9"/>
      <c r="D7" s="159"/>
      <c r="E7" s="159"/>
      <c r="F7" s="10"/>
      <c r="G7" s="121"/>
      <c r="H7" s="9"/>
      <c r="I7" s="159"/>
      <c r="J7" s="159"/>
      <c r="K7" s="10"/>
      <c r="L7" s="128"/>
      <c r="M7" s="23"/>
      <c r="N7" s="159"/>
      <c r="O7" s="159"/>
      <c r="P7" s="10"/>
      <c r="Q7" s="121"/>
      <c r="R7" s="9"/>
      <c r="S7" s="159"/>
      <c r="T7" s="159"/>
      <c r="U7" s="10"/>
      <c r="V7" s="128" t="s">
        <v>76</v>
      </c>
      <c r="W7" s="259" t="s">
        <v>41</v>
      </c>
      <c r="X7" s="4" t="s">
        <v>41</v>
      </c>
      <c r="Y7" s="4" t="s">
        <v>41</v>
      </c>
      <c r="Z7" s="10" t="s">
        <v>41</v>
      </c>
      <c r="AA7" s="128"/>
      <c r="AB7" s="15">
        <f t="shared" si="2"/>
        <v>0</v>
      </c>
      <c r="AC7" s="17">
        <f t="shared" si="0"/>
        <v>0</v>
      </c>
      <c r="AD7" s="17">
        <f t="shared" si="1"/>
        <v>0</v>
      </c>
      <c r="AE7" s="17">
        <f t="shared" si="3"/>
        <v>0</v>
      </c>
      <c r="AF7" s="17">
        <f t="shared" si="4"/>
        <v>1</v>
      </c>
      <c r="AG7" s="19" t="str">
        <f t="shared" si="5"/>
        <v>-</v>
      </c>
    </row>
    <row r="8" spans="1:33" x14ac:dyDescent="0.25">
      <c r="B8" s="236" t="s">
        <v>74</v>
      </c>
      <c r="C8" s="9"/>
      <c r="D8" s="159"/>
      <c r="E8" s="159"/>
      <c r="F8" s="10"/>
      <c r="G8" s="121"/>
      <c r="H8" s="9"/>
      <c r="I8" s="159"/>
      <c r="J8" s="159"/>
      <c r="K8" s="10"/>
      <c r="L8" s="128"/>
      <c r="M8" s="23"/>
      <c r="N8" s="159"/>
      <c r="O8" s="159"/>
      <c r="P8" s="10"/>
      <c r="Q8" s="121"/>
      <c r="R8" s="9"/>
      <c r="S8" s="159"/>
      <c r="T8" s="159"/>
      <c r="U8" s="10"/>
      <c r="V8" s="128"/>
      <c r="W8" s="259" t="s">
        <v>41</v>
      </c>
      <c r="X8" s="4" t="s">
        <v>41</v>
      </c>
      <c r="Y8" s="4" t="s">
        <v>41</v>
      </c>
      <c r="Z8" s="10" t="s">
        <v>41</v>
      </c>
      <c r="AA8" s="128"/>
      <c r="AB8" s="15">
        <f t="shared" si="2"/>
        <v>0</v>
      </c>
      <c r="AC8" s="17">
        <f t="shared" si="0"/>
        <v>0</v>
      </c>
      <c r="AD8" s="17">
        <f t="shared" si="1"/>
        <v>0</v>
      </c>
      <c r="AE8" s="17">
        <f t="shared" si="3"/>
        <v>0</v>
      </c>
      <c r="AF8" s="17">
        <f t="shared" si="4"/>
        <v>0</v>
      </c>
      <c r="AG8" s="19" t="str">
        <f t="shared" si="5"/>
        <v>-</v>
      </c>
    </row>
    <row r="9" spans="1:33" x14ac:dyDescent="0.25">
      <c r="B9" s="236" t="s">
        <v>6</v>
      </c>
      <c r="C9" s="9"/>
      <c r="D9" s="159"/>
      <c r="E9" s="159"/>
      <c r="F9" s="10"/>
      <c r="G9" s="121"/>
      <c r="H9" s="9"/>
      <c r="I9" s="159"/>
      <c r="J9" s="159"/>
      <c r="K9" s="10"/>
      <c r="L9" s="128"/>
      <c r="M9" s="23" t="s">
        <v>50</v>
      </c>
      <c r="N9" s="159">
        <v>0</v>
      </c>
      <c r="O9" s="159">
        <v>0</v>
      </c>
      <c r="P9" s="10">
        <v>4.96</v>
      </c>
      <c r="Q9" s="121"/>
      <c r="R9" s="9" t="s">
        <v>50</v>
      </c>
      <c r="S9" s="159">
        <v>1</v>
      </c>
      <c r="T9" s="159">
        <v>0</v>
      </c>
      <c r="U9" s="10">
        <v>5.96</v>
      </c>
      <c r="V9" s="128"/>
      <c r="W9" s="259" t="s">
        <v>41</v>
      </c>
      <c r="X9" s="4" t="s">
        <v>41</v>
      </c>
      <c r="Y9" s="4" t="s">
        <v>41</v>
      </c>
      <c r="Z9" s="10" t="s">
        <v>41</v>
      </c>
      <c r="AA9" s="128"/>
      <c r="AB9" s="15">
        <f t="shared" si="2"/>
        <v>2</v>
      </c>
      <c r="AC9" s="17">
        <f t="shared" si="0"/>
        <v>1</v>
      </c>
      <c r="AD9" s="17">
        <f t="shared" si="1"/>
        <v>0</v>
      </c>
      <c r="AE9" s="17">
        <f t="shared" si="3"/>
        <v>1</v>
      </c>
      <c r="AF9" s="17">
        <f t="shared" si="4"/>
        <v>0</v>
      </c>
      <c r="AG9" s="19">
        <f t="shared" si="5"/>
        <v>5.46</v>
      </c>
    </row>
    <row r="10" spans="1:33" x14ac:dyDescent="0.25">
      <c r="B10" s="236" t="s">
        <v>7</v>
      </c>
      <c r="C10" s="9"/>
      <c r="D10" s="159"/>
      <c r="E10" s="159"/>
      <c r="F10" s="10"/>
      <c r="G10" s="121"/>
      <c r="H10" s="9" t="s">
        <v>50</v>
      </c>
      <c r="I10" s="159">
        <v>0</v>
      </c>
      <c r="J10" s="159">
        <v>0</v>
      </c>
      <c r="K10" s="10">
        <v>6</v>
      </c>
      <c r="L10" s="128"/>
      <c r="M10" s="23"/>
      <c r="N10" s="159"/>
      <c r="O10" s="159"/>
      <c r="P10" s="10"/>
      <c r="Q10" s="121"/>
      <c r="R10" s="9"/>
      <c r="S10" s="159"/>
      <c r="T10" s="159"/>
      <c r="U10" s="10"/>
      <c r="V10" s="128"/>
      <c r="W10" s="259" t="s">
        <v>41</v>
      </c>
      <c r="X10" s="4" t="s">
        <v>41</v>
      </c>
      <c r="Y10" s="4" t="s">
        <v>41</v>
      </c>
      <c r="Z10" s="10" t="s">
        <v>41</v>
      </c>
      <c r="AA10" s="128"/>
      <c r="AB10" s="15">
        <f t="shared" si="2"/>
        <v>1</v>
      </c>
      <c r="AC10" s="17">
        <f t="shared" si="0"/>
        <v>0</v>
      </c>
      <c r="AD10" s="17">
        <f t="shared" si="1"/>
        <v>0</v>
      </c>
      <c r="AE10" s="17">
        <f t="shared" si="3"/>
        <v>0</v>
      </c>
      <c r="AF10" s="17">
        <f t="shared" si="4"/>
        <v>0</v>
      </c>
      <c r="AG10" s="19">
        <f t="shared" si="5"/>
        <v>6</v>
      </c>
    </row>
    <row r="11" spans="1:33" x14ac:dyDescent="0.25">
      <c r="B11" s="236" t="s">
        <v>8</v>
      </c>
      <c r="C11" s="9"/>
      <c r="D11" s="159"/>
      <c r="E11" s="159"/>
      <c r="F11" s="10"/>
      <c r="G11" s="121"/>
      <c r="H11" s="9"/>
      <c r="I11" s="159"/>
      <c r="J11" s="159"/>
      <c r="K11" s="10"/>
      <c r="L11" s="128"/>
      <c r="M11" s="23" t="s">
        <v>50</v>
      </c>
      <c r="N11" s="159">
        <v>5</v>
      </c>
      <c r="O11" s="159">
        <v>3</v>
      </c>
      <c r="P11" s="10">
        <v>6.04</v>
      </c>
      <c r="Q11" s="121" t="s">
        <v>76</v>
      </c>
      <c r="R11" s="9"/>
      <c r="S11" s="159"/>
      <c r="T11" s="159"/>
      <c r="U11" s="10"/>
      <c r="V11" s="128"/>
      <c r="W11" s="259" t="s">
        <v>41</v>
      </c>
      <c r="X11" s="4" t="s">
        <v>41</v>
      </c>
      <c r="Y11" s="4" t="s">
        <v>41</v>
      </c>
      <c r="Z11" s="10" t="s">
        <v>41</v>
      </c>
      <c r="AA11" s="128"/>
      <c r="AB11" s="15">
        <f t="shared" si="2"/>
        <v>1</v>
      </c>
      <c r="AC11" s="17">
        <f t="shared" si="0"/>
        <v>5</v>
      </c>
      <c r="AD11" s="17">
        <f t="shared" si="1"/>
        <v>3</v>
      </c>
      <c r="AE11" s="17">
        <f t="shared" si="3"/>
        <v>8</v>
      </c>
      <c r="AF11" s="17">
        <f t="shared" si="4"/>
        <v>1</v>
      </c>
      <c r="AG11" s="19">
        <f t="shared" si="5"/>
        <v>6.04</v>
      </c>
    </row>
    <row r="12" spans="1:33" x14ac:dyDescent="0.25">
      <c r="B12" s="236" t="s">
        <v>9</v>
      </c>
      <c r="C12" s="9" t="s">
        <v>50</v>
      </c>
      <c r="D12" s="159">
        <v>0</v>
      </c>
      <c r="E12" s="159">
        <v>2</v>
      </c>
      <c r="F12" s="10">
        <v>7.72</v>
      </c>
      <c r="G12" s="121" t="s">
        <v>76</v>
      </c>
      <c r="H12" s="9" t="s">
        <v>50</v>
      </c>
      <c r="I12" s="159">
        <v>2</v>
      </c>
      <c r="J12" s="159">
        <v>2</v>
      </c>
      <c r="K12" s="10">
        <v>7.62</v>
      </c>
      <c r="L12" s="128" t="s">
        <v>76</v>
      </c>
      <c r="M12" s="23" t="s">
        <v>50</v>
      </c>
      <c r="N12" s="159">
        <v>4</v>
      </c>
      <c r="O12" s="159">
        <v>2</v>
      </c>
      <c r="P12" s="10">
        <v>7.46</v>
      </c>
      <c r="Q12" s="121"/>
      <c r="R12" s="9" t="s">
        <v>50</v>
      </c>
      <c r="S12" s="159">
        <v>3</v>
      </c>
      <c r="T12" s="159">
        <v>2</v>
      </c>
      <c r="U12" s="10">
        <v>8.26</v>
      </c>
      <c r="V12" s="128" t="s">
        <v>76</v>
      </c>
      <c r="W12" s="259" t="s">
        <v>41</v>
      </c>
      <c r="X12" s="4" t="s">
        <v>41</v>
      </c>
      <c r="Y12" s="4" t="s">
        <v>41</v>
      </c>
      <c r="Z12" s="10" t="s">
        <v>41</v>
      </c>
      <c r="AA12" s="128"/>
      <c r="AB12" s="15">
        <f t="shared" si="2"/>
        <v>4</v>
      </c>
      <c r="AC12" s="17">
        <f t="shared" si="0"/>
        <v>9</v>
      </c>
      <c r="AD12" s="17">
        <f t="shared" si="1"/>
        <v>8</v>
      </c>
      <c r="AE12" s="17">
        <f t="shared" si="3"/>
        <v>17</v>
      </c>
      <c r="AF12" s="17">
        <f t="shared" si="4"/>
        <v>3</v>
      </c>
      <c r="AG12" s="19">
        <f t="shared" si="5"/>
        <v>7.7650000000000006</v>
      </c>
    </row>
    <row r="13" spans="1:33" x14ac:dyDescent="0.25">
      <c r="B13" s="236" t="s">
        <v>10</v>
      </c>
      <c r="C13" s="9" t="s">
        <v>50</v>
      </c>
      <c r="D13" s="159">
        <v>0</v>
      </c>
      <c r="E13" s="159">
        <v>2</v>
      </c>
      <c r="F13" s="10">
        <v>4.22</v>
      </c>
      <c r="G13" s="121"/>
      <c r="H13" s="9" t="s">
        <v>50</v>
      </c>
      <c r="I13" s="159">
        <v>3</v>
      </c>
      <c r="J13" s="159">
        <v>1</v>
      </c>
      <c r="K13" s="10">
        <v>5.66</v>
      </c>
      <c r="L13" s="128"/>
      <c r="M13" s="23" t="s">
        <v>50</v>
      </c>
      <c r="N13" s="159">
        <v>0</v>
      </c>
      <c r="O13" s="159">
        <v>1</v>
      </c>
      <c r="P13" s="10">
        <v>4.5999999999999996</v>
      </c>
      <c r="Q13" s="121"/>
      <c r="R13" s="9" t="s">
        <v>50</v>
      </c>
      <c r="S13" s="159">
        <v>0</v>
      </c>
      <c r="T13" s="159">
        <v>1</v>
      </c>
      <c r="U13" s="10">
        <v>4.96</v>
      </c>
      <c r="V13" s="128"/>
      <c r="W13" s="259" t="s">
        <v>41</v>
      </c>
      <c r="X13" s="4" t="s">
        <v>41</v>
      </c>
      <c r="Y13" s="4" t="s">
        <v>41</v>
      </c>
      <c r="Z13" s="10" t="s">
        <v>41</v>
      </c>
      <c r="AA13" s="128"/>
      <c r="AB13" s="15">
        <f t="shared" si="2"/>
        <v>4</v>
      </c>
      <c r="AC13" s="17">
        <f t="shared" si="0"/>
        <v>3</v>
      </c>
      <c r="AD13" s="17">
        <f t="shared" si="1"/>
        <v>5</v>
      </c>
      <c r="AE13" s="17">
        <f t="shared" si="3"/>
        <v>8</v>
      </c>
      <c r="AF13" s="17">
        <f t="shared" si="4"/>
        <v>0</v>
      </c>
      <c r="AG13" s="19">
        <f t="shared" si="5"/>
        <v>4.8599999999999994</v>
      </c>
    </row>
    <row r="14" spans="1:33" x14ac:dyDescent="0.25">
      <c r="B14" s="236" t="s">
        <v>11</v>
      </c>
      <c r="C14" s="9"/>
      <c r="D14" s="159"/>
      <c r="E14" s="159"/>
      <c r="F14" s="10"/>
      <c r="G14" s="121"/>
      <c r="H14" s="9"/>
      <c r="I14" s="159"/>
      <c r="J14" s="159"/>
      <c r="K14" s="10"/>
      <c r="L14" s="128"/>
      <c r="M14" s="23"/>
      <c r="N14" s="159"/>
      <c r="O14" s="159"/>
      <c r="P14" s="10"/>
      <c r="Q14" s="121"/>
      <c r="R14" s="9"/>
      <c r="S14" s="159"/>
      <c r="T14" s="159"/>
      <c r="U14" s="10"/>
      <c r="V14" s="128"/>
      <c r="W14" s="259" t="s">
        <v>41</v>
      </c>
      <c r="X14" s="4" t="s">
        <v>41</v>
      </c>
      <c r="Y14" s="4" t="s">
        <v>41</v>
      </c>
      <c r="Z14" s="10" t="s">
        <v>41</v>
      </c>
      <c r="AA14" s="128"/>
      <c r="AB14" s="15">
        <f t="shared" si="2"/>
        <v>0</v>
      </c>
      <c r="AC14" s="17">
        <f t="shared" si="0"/>
        <v>0</v>
      </c>
      <c r="AD14" s="17">
        <f t="shared" si="1"/>
        <v>0</v>
      </c>
      <c r="AE14" s="17">
        <f t="shared" si="3"/>
        <v>0</v>
      </c>
      <c r="AF14" s="17">
        <f t="shared" si="4"/>
        <v>0</v>
      </c>
      <c r="AG14" s="19" t="str">
        <f t="shared" si="5"/>
        <v>-</v>
      </c>
    </row>
    <row r="15" spans="1:33" x14ac:dyDescent="0.25">
      <c r="B15" s="237" t="s">
        <v>83</v>
      </c>
      <c r="C15" s="9"/>
      <c r="D15" s="159"/>
      <c r="E15" s="159"/>
      <c r="F15" s="10"/>
      <c r="G15" s="121"/>
      <c r="H15" s="9"/>
      <c r="I15" s="159"/>
      <c r="J15" s="159"/>
      <c r="K15" s="10"/>
      <c r="L15" s="128"/>
      <c r="M15" s="23"/>
      <c r="N15" s="159"/>
      <c r="O15" s="159"/>
      <c r="P15" s="10"/>
      <c r="Q15" s="121"/>
      <c r="R15" s="9"/>
      <c r="S15" s="159"/>
      <c r="T15" s="159"/>
      <c r="U15" s="10"/>
      <c r="V15" s="128"/>
      <c r="W15" s="259"/>
      <c r="X15" s="4"/>
      <c r="Y15" s="4"/>
      <c r="Z15" s="10"/>
      <c r="AA15" s="128"/>
      <c r="AB15" s="15">
        <f t="shared" si="2"/>
        <v>0</v>
      </c>
      <c r="AC15" s="17">
        <f t="shared" si="0"/>
        <v>0</v>
      </c>
      <c r="AD15" s="17">
        <f t="shared" si="1"/>
        <v>0</v>
      </c>
      <c r="AE15" s="17">
        <f t="shared" si="3"/>
        <v>0</v>
      </c>
      <c r="AF15" s="17">
        <f t="shared" si="4"/>
        <v>0</v>
      </c>
      <c r="AG15" s="19" t="str">
        <f t="shared" si="5"/>
        <v>-</v>
      </c>
    </row>
    <row r="16" spans="1:33" x14ac:dyDescent="0.25">
      <c r="B16" s="236" t="s">
        <v>12</v>
      </c>
      <c r="C16" s="9" t="s">
        <v>50</v>
      </c>
      <c r="D16" s="159">
        <v>0</v>
      </c>
      <c r="E16" s="159">
        <v>0</v>
      </c>
      <c r="F16" s="10">
        <v>6.46</v>
      </c>
      <c r="G16" s="121" t="s">
        <v>76</v>
      </c>
      <c r="H16" s="9" t="s">
        <v>50</v>
      </c>
      <c r="I16" s="159">
        <v>0</v>
      </c>
      <c r="J16" s="159">
        <v>0</v>
      </c>
      <c r="K16" s="10">
        <v>6.8</v>
      </c>
      <c r="L16" s="128" t="s">
        <v>76</v>
      </c>
      <c r="M16" s="23" t="s">
        <v>50</v>
      </c>
      <c r="N16" s="159">
        <v>0</v>
      </c>
      <c r="O16" s="159">
        <v>0</v>
      </c>
      <c r="P16" s="10">
        <v>5.0999999999999996</v>
      </c>
      <c r="Q16" s="121"/>
      <c r="R16" s="9" t="s">
        <v>50</v>
      </c>
      <c r="S16" s="159">
        <v>0</v>
      </c>
      <c r="T16" s="159">
        <v>0</v>
      </c>
      <c r="U16" s="10">
        <v>6.8</v>
      </c>
      <c r="V16" s="128"/>
      <c r="W16" s="259" t="s">
        <v>41</v>
      </c>
      <c r="X16" s="4" t="s">
        <v>41</v>
      </c>
      <c r="Y16" s="4" t="s">
        <v>41</v>
      </c>
      <c r="Z16" s="10" t="s">
        <v>41</v>
      </c>
      <c r="AA16" s="128"/>
      <c r="AB16" s="15">
        <f t="shared" si="2"/>
        <v>4</v>
      </c>
      <c r="AC16" s="17">
        <f t="shared" si="0"/>
        <v>0</v>
      </c>
      <c r="AD16" s="17">
        <f t="shared" si="1"/>
        <v>0</v>
      </c>
      <c r="AE16" s="17">
        <f t="shared" si="3"/>
        <v>0</v>
      </c>
      <c r="AF16" s="17">
        <f t="shared" si="4"/>
        <v>2</v>
      </c>
      <c r="AG16" s="19">
        <f t="shared" si="5"/>
        <v>6.29</v>
      </c>
    </row>
    <row r="17" spans="2:33" x14ac:dyDescent="0.25">
      <c r="B17" s="236" t="s">
        <v>56</v>
      </c>
      <c r="C17" s="9"/>
      <c r="D17" s="159"/>
      <c r="E17" s="159"/>
      <c r="F17" s="10"/>
      <c r="G17" s="121"/>
      <c r="H17" s="9"/>
      <c r="I17" s="159"/>
      <c r="J17" s="159"/>
      <c r="K17" s="10"/>
      <c r="L17" s="128"/>
      <c r="M17" s="23"/>
      <c r="N17" s="159"/>
      <c r="O17" s="159"/>
      <c r="P17" s="10"/>
      <c r="Q17" s="121"/>
      <c r="R17" s="9"/>
      <c r="S17" s="159"/>
      <c r="T17" s="159"/>
      <c r="U17" s="10"/>
      <c r="V17" s="128"/>
      <c r="W17" s="259" t="s">
        <v>41</v>
      </c>
      <c r="X17" s="4" t="s">
        <v>41</v>
      </c>
      <c r="Y17" s="4" t="s">
        <v>41</v>
      </c>
      <c r="Z17" s="10" t="s">
        <v>41</v>
      </c>
      <c r="AA17" s="128"/>
      <c r="AB17" s="15">
        <f t="shared" si="2"/>
        <v>0</v>
      </c>
      <c r="AC17" s="17">
        <f t="shared" si="0"/>
        <v>0</v>
      </c>
      <c r="AD17" s="17">
        <f t="shared" si="1"/>
        <v>0</v>
      </c>
      <c r="AE17" s="17">
        <f t="shared" si="3"/>
        <v>0</v>
      </c>
      <c r="AF17" s="17">
        <f t="shared" si="4"/>
        <v>0</v>
      </c>
      <c r="AG17" s="19" t="str">
        <f t="shared" si="5"/>
        <v>-</v>
      </c>
    </row>
    <row r="18" spans="2:33" x14ac:dyDescent="0.25">
      <c r="B18" s="236" t="s">
        <v>13</v>
      </c>
      <c r="C18" s="9"/>
      <c r="D18" s="159"/>
      <c r="E18" s="159"/>
      <c r="F18" s="10"/>
      <c r="G18" s="121"/>
      <c r="H18" s="9"/>
      <c r="I18" s="159"/>
      <c r="J18" s="159"/>
      <c r="K18" s="10"/>
      <c r="L18" s="128"/>
      <c r="M18" s="23"/>
      <c r="N18" s="159"/>
      <c r="O18" s="159"/>
      <c r="P18" s="10"/>
      <c r="Q18" s="121"/>
      <c r="R18" s="9"/>
      <c r="S18" s="159"/>
      <c r="T18" s="159"/>
      <c r="U18" s="10"/>
      <c r="V18" s="128"/>
      <c r="W18" s="259" t="s">
        <v>41</v>
      </c>
      <c r="X18" s="4" t="s">
        <v>41</v>
      </c>
      <c r="Y18" s="4" t="s">
        <v>41</v>
      </c>
      <c r="Z18" s="10" t="s">
        <v>41</v>
      </c>
      <c r="AA18" s="128"/>
      <c r="AB18" s="15">
        <f t="shared" si="2"/>
        <v>0</v>
      </c>
      <c r="AC18" s="17">
        <f t="shared" si="0"/>
        <v>0</v>
      </c>
      <c r="AD18" s="17">
        <f t="shared" si="1"/>
        <v>0</v>
      </c>
      <c r="AE18" s="17">
        <f t="shared" si="3"/>
        <v>0</v>
      </c>
      <c r="AF18" s="17">
        <f t="shared" si="4"/>
        <v>0</v>
      </c>
      <c r="AG18" s="19" t="str">
        <f t="shared" si="5"/>
        <v>-</v>
      </c>
    </row>
    <row r="19" spans="2:33" x14ac:dyDescent="0.25">
      <c r="B19" s="236" t="s">
        <v>14</v>
      </c>
      <c r="C19" s="9"/>
      <c r="D19" s="159"/>
      <c r="E19" s="159"/>
      <c r="F19" s="10"/>
      <c r="G19" s="121"/>
      <c r="H19" s="9" t="s">
        <v>50</v>
      </c>
      <c r="I19" s="159">
        <v>3</v>
      </c>
      <c r="J19" s="159">
        <v>3</v>
      </c>
      <c r="K19" s="10">
        <v>7.7</v>
      </c>
      <c r="L19" s="128" t="s">
        <v>76</v>
      </c>
      <c r="M19" s="23" t="s">
        <v>50</v>
      </c>
      <c r="N19" s="159">
        <v>5</v>
      </c>
      <c r="O19" s="159">
        <v>1</v>
      </c>
      <c r="P19" s="10">
        <v>8.1</v>
      </c>
      <c r="Q19" s="121" t="s">
        <v>76</v>
      </c>
      <c r="R19" s="9" t="s">
        <v>50</v>
      </c>
      <c r="S19" s="159">
        <v>6</v>
      </c>
      <c r="T19" s="159">
        <v>0</v>
      </c>
      <c r="U19" s="10">
        <v>9.5399999999999991</v>
      </c>
      <c r="V19" s="128"/>
      <c r="W19" s="259" t="s">
        <v>41</v>
      </c>
      <c r="X19" s="4" t="s">
        <v>41</v>
      </c>
      <c r="Y19" s="4" t="s">
        <v>41</v>
      </c>
      <c r="Z19" s="10" t="s">
        <v>41</v>
      </c>
      <c r="AA19" s="128"/>
      <c r="AB19" s="15">
        <f t="shared" si="2"/>
        <v>3</v>
      </c>
      <c r="AC19" s="17">
        <f t="shared" si="0"/>
        <v>14</v>
      </c>
      <c r="AD19" s="17">
        <f t="shared" si="1"/>
        <v>4</v>
      </c>
      <c r="AE19" s="17">
        <f t="shared" si="3"/>
        <v>18</v>
      </c>
      <c r="AF19" s="17">
        <f t="shared" si="4"/>
        <v>2</v>
      </c>
      <c r="AG19" s="19">
        <f t="shared" si="5"/>
        <v>8.4466666666666672</v>
      </c>
    </row>
    <row r="20" spans="2:33" x14ac:dyDescent="0.25">
      <c r="B20" s="237" t="s">
        <v>86</v>
      </c>
      <c r="C20" s="9"/>
      <c r="D20" s="159"/>
      <c r="E20" s="159"/>
      <c r="F20" s="10"/>
      <c r="G20" s="121"/>
      <c r="H20" s="9"/>
      <c r="I20" s="159"/>
      <c r="J20" s="159"/>
      <c r="K20" s="10"/>
      <c r="L20" s="128"/>
      <c r="M20" s="23"/>
      <c r="N20" s="159"/>
      <c r="O20" s="159"/>
      <c r="P20" s="10"/>
      <c r="Q20" s="121"/>
      <c r="R20" s="9"/>
      <c r="S20" s="159"/>
      <c r="T20" s="159"/>
      <c r="U20" s="10"/>
      <c r="V20" s="128"/>
      <c r="W20" s="259"/>
      <c r="X20" s="4"/>
      <c r="Y20" s="4"/>
      <c r="Z20" s="10"/>
      <c r="AA20" s="128"/>
      <c r="AB20" s="15">
        <f t="shared" si="2"/>
        <v>0</v>
      </c>
      <c r="AC20" s="17">
        <f t="shared" si="0"/>
        <v>0</v>
      </c>
      <c r="AD20" s="17">
        <f t="shared" si="1"/>
        <v>0</v>
      </c>
      <c r="AE20" s="17">
        <f t="shared" si="3"/>
        <v>0</v>
      </c>
      <c r="AF20" s="17">
        <f t="shared" si="4"/>
        <v>0</v>
      </c>
      <c r="AG20" s="19" t="str">
        <f t="shared" si="5"/>
        <v>-</v>
      </c>
    </row>
    <row r="21" spans="2:33" x14ac:dyDescent="0.25">
      <c r="B21" s="236" t="s">
        <v>15</v>
      </c>
      <c r="C21" s="9" t="s">
        <v>50</v>
      </c>
      <c r="D21" s="159">
        <v>0</v>
      </c>
      <c r="E21" s="159">
        <v>0</v>
      </c>
      <c r="F21" s="10">
        <v>4.6399999999999997</v>
      </c>
      <c r="G21" s="121"/>
      <c r="H21" s="9"/>
      <c r="I21" s="159"/>
      <c r="J21" s="159"/>
      <c r="K21" s="10"/>
      <c r="L21" s="128"/>
      <c r="M21" s="23" t="s">
        <v>50</v>
      </c>
      <c r="N21" s="159">
        <v>0</v>
      </c>
      <c r="O21" s="159">
        <v>0</v>
      </c>
      <c r="P21" s="10">
        <v>4.96</v>
      </c>
      <c r="Q21" s="121"/>
      <c r="R21" s="9" t="s">
        <v>50</v>
      </c>
      <c r="S21" s="159">
        <v>0</v>
      </c>
      <c r="T21" s="159">
        <v>0</v>
      </c>
      <c r="U21" s="10">
        <v>5.54</v>
      </c>
      <c r="V21" s="128"/>
      <c r="W21" s="259" t="s">
        <v>41</v>
      </c>
      <c r="X21" s="4" t="s">
        <v>41</v>
      </c>
      <c r="Y21" s="4" t="s">
        <v>41</v>
      </c>
      <c r="Z21" s="10" t="s">
        <v>41</v>
      </c>
      <c r="AA21" s="128"/>
      <c r="AB21" s="15">
        <f t="shared" si="2"/>
        <v>3</v>
      </c>
      <c r="AC21" s="17">
        <f t="shared" si="0"/>
        <v>0</v>
      </c>
      <c r="AD21" s="17">
        <f t="shared" si="1"/>
        <v>0</v>
      </c>
      <c r="AE21" s="17">
        <f t="shared" si="3"/>
        <v>0</v>
      </c>
      <c r="AF21" s="17">
        <f t="shared" si="4"/>
        <v>0</v>
      </c>
      <c r="AG21" s="19">
        <f t="shared" si="5"/>
        <v>5.0466666666666669</v>
      </c>
    </row>
    <row r="22" spans="2:33" x14ac:dyDescent="0.25">
      <c r="B22" s="236" t="s">
        <v>16</v>
      </c>
      <c r="C22" s="9" t="s">
        <v>50</v>
      </c>
      <c r="D22" s="159">
        <v>3</v>
      </c>
      <c r="E22" s="159">
        <v>0</v>
      </c>
      <c r="F22" s="10">
        <v>5.54</v>
      </c>
      <c r="G22" s="121" t="s">
        <v>76</v>
      </c>
      <c r="H22" s="9" t="s">
        <v>50</v>
      </c>
      <c r="I22" s="159">
        <v>3</v>
      </c>
      <c r="J22" s="159">
        <v>0</v>
      </c>
      <c r="K22" s="10">
        <v>4.92</v>
      </c>
      <c r="L22" s="128"/>
      <c r="M22" s="23" t="s">
        <v>50</v>
      </c>
      <c r="N22" s="159">
        <v>4</v>
      </c>
      <c r="O22" s="159">
        <v>0</v>
      </c>
      <c r="P22" s="10">
        <v>5.18</v>
      </c>
      <c r="Q22" s="121"/>
      <c r="R22" s="9" t="s">
        <v>50</v>
      </c>
      <c r="S22" s="159">
        <v>2</v>
      </c>
      <c r="T22" s="159">
        <v>0</v>
      </c>
      <c r="U22" s="10">
        <v>4.42</v>
      </c>
      <c r="V22" s="128"/>
      <c r="W22" s="259" t="s">
        <v>41</v>
      </c>
      <c r="X22" s="4" t="s">
        <v>41</v>
      </c>
      <c r="Y22" s="4" t="s">
        <v>41</v>
      </c>
      <c r="Z22" s="10" t="s">
        <v>41</v>
      </c>
      <c r="AA22" s="128"/>
      <c r="AB22" s="15">
        <f t="shared" si="2"/>
        <v>4</v>
      </c>
      <c r="AC22" s="17">
        <f t="shared" si="0"/>
        <v>12</v>
      </c>
      <c r="AD22" s="17">
        <f t="shared" si="1"/>
        <v>0</v>
      </c>
      <c r="AE22" s="17">
        <f t="shared" si="3"/>
        <v>12</v>
      </c>
      <c r="AF22" s="17">
        <f t="shared" si="4"/>
        <v>1</v>
      </c>
      <c r="AG22" s="19">
        <f t="shared" si="5"/>
        <v>5.0150000000000006</v>
      </c>
    </row>
    <row r="23" spans="2:33" x14ac:dyDescent="0.25">
      <c r="B23" s="236" t="s">
        <v>17</v>
      </c>
      <c r="C23" s="9"/>
      <c r="D23" s="159"/>
      <c r="E23" s="159"/>
      <c r="F23" s="10"/>
      <c r="G23" s="121"/>
      <c r="H23" s="9"/>
      <c r="I23" s="159"/>
      <c r="J23" s="159"/>
      <c r="K23" s="10"/>
      <c r="L23" s="128"/>
      <c r="M23" s="23"/>
      <c r="N23" s="159"/>
      <c r="O23" s="159"/>
      <c r="P23" s="10"/>
      <c r="Q23" s="121"/>
      <c r="R23" s="9"/>
      <c r="S23" s="159"/>
      <c r="T23" s="159"/>
      <c r="U23" s="10"/>
      <c r="V23" s="128"/>
      <c r="W23" s="259" t="s">
        <v>41</v>
      </c>
      <c r="X23" s="4" t="s">
        <v>41</v>
      </c>
      <c r="Y23" s="4" t="s">
        <v>41</v>
      </c>
      <c r="Z23" s="10" t="s">
        <v>41</v>
      </c>
      <c r="AA23" s="128"/>
      <c r="AB23" s="15">
        <f t="shared" si="2"/>
        <v>0</v>
      </c>
      <c r="AC23" s="17">
        <f t="shared" si="0"/>
        <v>0</v>
      </c>
      <c r="AD23" s="17">
        <f t="shared" si="1"/>
        <v>0</v>
      </c>
      <c r="AE23" s="17">
        <f t="shared" si="3"/>
        <v>0</v>
      </c>
      <c r="AF23" s="17">
        <f t="shared" si="4"/>
        <v>0</v>
      </c>
      <c r="AG23" s="19" t="str">
        <f t="shared" si="5"/>
        <v>-</v>
      </c>
    </row>
    <row r="24" spans="2:33" x14ac:dyDescent="0.25">
      <c r="B24" s="236" t="s">
        <v>18</v>
      </c>
      <c r="C24" s="9" t="s">
        <v>50</v>
      </c>
      <c r="D24" s="159">
        <v>1</v>
      </c>
      <c r="E24" s="159">
        <v>0</v>
      </c>
      <c r="F24" s="10">
        <v>5.52</v>
      </c>
      <c r="G24" s="121" t="s">
        <v>76</v>
      </c>
      <c r="H24" s="9" t="s">
        <v>50</v>
      </c>
      <c r="I24" s="159">
        <v>3</v>
      </c>
      <c r="J24" s="159">
        <v>0</v>
      </c>
      <c r="K24" s="10">
        <v>4.92</v>
      </c>
      <c r="L24" s="128"/>
      <c r="M24" s="23"/>
      <c r="N24" s="159"/>
      <c r="O24" s="159"/>
      <c r="P24" s="10"/>
      <c r="Q24" s="121"/>
      <c r="R24" s="9"/>
      <c r="S24" s="159"/>
      <c r="T24" s="159"/>
      <c r="U24" s="10"/>
      <c r="V24" s="128"/>
      <c r="W24" s="259" t="s">
        <v>41</v>
      </c>
      <c r="X24" s="4" t="s">
        <v>41</v>
      </c>
      <c r="Y24" s="4" t="s">
        <v>41</v>
      </c>
      <c r="Z24" s="10" t="s">
        <v>41</v>
      </c>
      <c r="AA24" s="128"/>
      <c r="AB24" s="15">
        <f t="shared" si="2"/>
        <v>2</v>
      </c>
      <c r="AC24" s="17">
        <f t="shared" si="0"/>
        <v>4</v>
      </c>
      <c r="AD24" s="17">
        <f t="shared" si="1"/>
        <v>0</v>
      </c>
      <c r="AE24" s="17">
        <f t="shared" si="3"/>
        <v>4</v>
      </c>
      <c r="AF24" s="17">
        <f t="shared" si="4"/>
        <v>1</v>
      </c>
      <c r="AG24" s="19">
        <f t="shared" si="5"/>
        <v>5.22</v>
      </c>
    </row>
    <row r="25" spans="2:33" x14ac:dyDescent="0.25">
      <c r="B25" s="236" t="s">
        <v>19</v>
      </c>
      <c r="C25" s="9"/>
      <c r="D25" s="159"/>
      <c r="E25" s="159"/>
      <c r="F25" s="10"/>
      <c r="G25" s="121"/>
      <c r="H25" s="9"/>
      <c r="I25" s="159"/>
      <c r="J25" s="159"/>
      <c r="K25" s="10"/>
      <c r="L25" s="128"/>
      <c r="M25" s="23"/>
      <c r="N25" s="159"/>
      <c r="O25" s="159"/>
      <c r="P25" s="10"/>
      <c r="Q25" s="121"/>
      <c r="R25" s="9"/>
      <c r="S25" s="159"/>
      <c r="T25" s="159"/>
      <c r="U25" s="10"/>
      <c r="V25" s="128"/>
      <c r="W25" s="259" t="s">
        <v>41</v>
      </c>
      <c r="X25" s="4" t="s">
        <v>41</v>
      </c>
      <c r="Y25" s="4" t="s">
        <v>41</v>
      </c>
      <c r="Z25" s="10" t="s">
        <v>41</v>
      </c>
      <c r="AA25" s="128"/>
      <c r="AB25" s="15">
        <f t="shared" si="2"/>
        <v>0</v>
      </c>
      <c r="AC25" s="17">
        <f t="shared" si="0"/>
        <v>0</v>
      </c>
      <c r="AD25" s="17">
        <f t="shared" si="1"/>
        <v>0</v>
      </c>
      <c r="AE25" s="17">
        <f t="shared" si="3"/>
        <v>0</v>
      </c>
      <c r="AF25" s="17">
        <f t="shared" si="4"/>
        <v>0</v>
      </c>
      <c r="AG25" s="19" t="str">
        <f t="shared" si="5"/>
        <v>-</v>
      </c>
    </row>
    <row r="26" spans="2:33" x14ac:dyDescent="0.25">
      <c r="B26" s="236" t="s">
        <v>79</v>
      </c>
      <c r="C26" s="9"/>
      <c r="D26" s="159"/>
      <c r="E26" s="159"/>
      <c r="F26" s="10"/>
      <c r="G26" s="121"/>
      <c r="H26" s="9"/>
      <c r="I26" s="159"/>
      <c r="J26" s="159"/>
      <c r="K26" s="10"/>
      <c r="L26" s="128"/>
      <c r="M26" s="23"/>
      <c r="N26" s="159"/>
      <c r="O26" s="159"/>
      <c r="P26" s="10"/>
      <c r="Q26" s="121"/>
      <c r="R26" s="9"/>
      <c r="S26" s="159"/>
      <c r="T26" s="159"/>
      <c r="U26" s="10"/>
      <c r="V26" s="128"/>
      <c r="W26" s="259" t="s">
        <v>41</v>
      </c>
      <c r="X26" s="4" t="s">
        <v>41</v>
      </c>
      <c r="Y26" s="4" t="s">
        <v>41</v>
      </c>
      <c r="Z26" s="10" t="s">
        <v>41</v>
      </c>
      <c r="AA26" s="128"/>
      <c r="AB26" s="15">
        <f t="shared" si="2"/>
        <v>0</v>
      </c>
      <c r="AC26" s="17">
        <f t="shared" si="0"/>
        <v>0</v>
      </c>
      <c r="AD26" s="17">
        <f t="shared" si="1"/>
        <v>0</v>
      </c>
      <c r="AE26" s="17">
        <f t="shared" si="3"/>
        <v>0</v>
      </c>
      <c r="AF26" s="17">
        <f t="shared" si="4"/>
        <v>0</v>
      </c>
      <c r="AG26" s="19" t="str">
        <f t="shared" si="5"/>
        <v>-</v>
      </c>
    </row>
    <row r="27" spans="2:33" x14ac:dyDescent="0.25">
      <c r="B27" s="236" t="s">
        <v>20</v>
      </c>
      <c r="C27" s="9" t="s">
        <v>50</v>
      </c>
      <c r="D27" s="159">
        <v>1</v>
      </c>
      <c r="E27" s="159">
        <v>0</v>
      </c>
      <c r="F27" s="10">
        <v>4.96</v>
      </c>
      <c r="G27" s="121"/>
      <c r="H27" s="9" t="s">
        <v>50</v>
      </c>
      <c r="I27" s="159">
        <v>2</v>
      </c>
      <c r="J27" s="159">
        <v>0</v>
      </c>
      <c r="K27" s="10">
        <v>5.58</v>
      </c>
      <c r="L27" s="128"/>
      <c r="M27" s="23" t="s">
        <v>50</v>
      </c>
      <c r="N27" s="159">
        <v>2</v>
      </c>
      <c r="O27" s="159">
        <v>1</v>
      </c>
      <c r="P27" s="10">
        <v>5.85</v>
      </c>
      <c r="Q27" s="121"/>
      <c r="R27" s="9" t="s">
        <v>50</v>
      </c>
      <c r="S27" s="159">
        <v>0</v>
      </c>
      <c r="T27" s="159">
        <v>0</v>
      </c>
      <c r="U27" s="10">
        <v>4.46</v>
      </c>
      <c r="V27" s="128"/>
      <c r="W27" s="259" t="s">
        <v>41</v>
      </c>
      <c r="X27" s="4" t="s">
        <v>41</v>
      </c>
      <c r="Y27" s="4" t="s">
        <v>41</v>
      </c>
      <c r="Z27" s="10" t="s">
        <v>41</v>
      </c>
      <c r="AA27" s="128"/>
      <c r="AB27" s="15">
        <f t="shared" si="2"/>
        <v>4</v>
      </c>
      <c r="AC27" s="17">
        <f t="shared" si="0"/>
        <v>5</v>
      </c>
      <c r="AD27" s="17">
        <f t="shared" si="1"/>
        <v>1</v>
      </c>
      <c r="AE27" s="17">
        <f t="shared" si="3"/>
        <v>6</v>
      </c>
      <c r="AF27" s="17">
        <f t="shared" si="4"/>
        <v>0</v>
      </c>
      <c r="AG27" s="19">
        <f t="shared" si="5"/>
        <v>5.2125000000000004</v>
      </c>
    </row>
    <row r="28" spans="2:33" x14ac:dyDescent="0.25">
      <c r="B28" s="237" t="s">
        <v>82</v>
      </c>
      <c r="C28" s="9"/>
      <c r="D28" s="159"/>
      <c r="E28" s="159"/>
      <c r="F28" s="10"/>
      <c r="G28" s="121"/>
      <c r="H28" s="9"/>
      <c r="I28" s="159"/>
      <c r="J28" s="159"/>
      <c r="K28" s="10"/>
      <c r="L28" s="128"/>
      <c r="M28" s="23"/>
      <c r="N28" s="159"/>
      <c r="O28" s="159"/>
      <c r="P28" s="10"/>
      <c r="Q28" s="121"/>
      <c r="R28" s="9"/>
      <c r="S28" s="159"/>
      <c r="T28" s="159"/>
      <c r="U28" s="10"/>
      <c r="V28" s="128"/>
      <c r="W28" s="259"/>
      <c r="X28" s="4"/>
      <c r="Y28" s="4"/>
      <c r="Z28" s="10"/>
      <c r="AA28" s="128"/>
      <c r="AB28" s="15">
        <f t="shared" si="2"/>
        <v>0</v>
      </c>
      <c r="AC28" s="17">
        <f t="shared" si="0"/>
        <v>0</v>
      </c>
      <c r="AD28" s="17">
        <f t="shared" si="1"/>
        <v>0</v>
      </c>
      <c r="AE28" s="17">
        <f t="shared" si="3"/>
        <v>0</v>
      </c>
      <c r="AF28" s="17">
        <f t="shared" si="4"/>
        <v>0</v>
      </c>
      <c r="AG28" s="19" t="str">
        <f t="shared" si="5"/>
        <v>-</v>
      </c>
    </row>
    <row r="29" spans="2:33" x14ac:dyDescent="0.25">
      <c r="B29" s="236" t="s">
        <v>21</v>
      </c>
      <c r="C29" s="9"/>
      <c r="D29" s="159"/>
      <c r="E29" s="159"/>
      <c r="F29" s="10"/>
      <c r="G29" s="121"/>
      <c r="H29" s="9"/>
      <c r="I29" s="159"/>
      <c r="J29" s="159"/>
      <c r="K29" s="10"/>
      <c r="L29" s="128"/>
      <c r="M29" s="23"/>
      <c r="N29" s="159"/>
      <c r="O29" s="159"/>
      <c r="P29" s="10"/>
      <c r="Q29" s="121"/>
      <c r="R29" s="9"/>
      <c r="S29" s="159"/>
      <c r="T29" s="159"/>
      <c r="U29" s="10"/>
      <c r="V29" s="128"/>
      <c r="W29" s="259" t="s">
        <v>41</v>
      </c>
      <c r="X29" s="4" t="s">
        <v>41</v>
      </c>
      <c r="Y29" s="4" t="s">
        <v>41</v>
      </c>
      <c r="Z29" s="10" t="s">
        <v>41</v>
      </c>
      <c r="AA29" s="128"/>
      <c r="AB29" s="15">
        <f t="shared" si="2"/>
        <v>0</v>
      </c>
      <c r="AC29" s="17">
        <f t="shared" si="0"/>
        <v>0</v>
      </c>
      <c r="AD29" s="17">
        <f t="shared" si="1"/>
        <v>0</v>
      </c>
      <c r="AE29" s="17">
        <f t="shared" si="3"/>
        <v>0</v>
      </c>
      <c r="AF29" s="17">
        <f t="shared" si="4"/>
        <v>0</v>
      </c>
      <c r="AG29" s="19" t="str">
        <f t="shared" si="5"/>
        <v>-</v>
      </c>
    </row>
    <row r="30" spans="2:33" x14ac:dyDescent="0.25">
      <c r="B30" s="236" t="s">
        <v>22</v>
      </c>
      <c r="C30" s="9"/>
      <c r="D30" s="159"/>
      <c r="E30" s="159"/>
      <c r="F30" s="10"/>
      <c r="G30" s="121"/>
      <c r="H30" s="9"/>
      <c r="I30" s="159"/>
      <c r="J30" s="159"/>
      <c r="K30" s="10"/>
      <c r="L30" s="128"/>
      <c r="M30" s="23"/>
      <c r="N30" s="159"/>
      <c r="O30" s="159"/>
      <c r="P30" s="10"/>
      <c r="Q30" s="121"/>
      <c r="R30" s="9"/>
      <c r="S30" s="159"/>
      <c r="T30" s="159"/>
      <c r="U30" s="10"/>
      <c r="V30" s="128"/>
      <c r="W30" s="259" t="s">
        <v>41</v>
      </c>
      <c r="X30" s="4" t="s">
        <v>41</v>
      </c>
      <c r="Y30" s="4" t="s">
        <v>41</v>
      </c>
      <c r="Z30" s="10" t="s">
        <v>41</v>
      </c>
      <c r="AA30" s="128"/>
      <c r="AB30" s="15">
        <f t="shared" si="2"/>
        <v>0</v>
      </c>
      <c r="AC30" s="17">
        <f t="shared" si="0"/>
        <v>0</v>
      </c>
      <c r="AD30" s="17">
        <f t="shared" si="1"/>
        <v>0</v>
      </c>
      <c r="AE30" s="17">
        <f t="shared" si="3"/>
        <v>0</v>
      </c>
      <c r="AF30" s="17">
        <f t="shared" si="4"/>
        <v>0</v>
      </c>
      <c r="AG30" s="19" t="str">
        <f t="shared" si="5"/>
        <v>-</v>
      </c>
    </row>
    <row r="31" spans="2:33" x14ac:dyDescent="0.25">
      <c r="B31" s="236" t="s">
        <v>23</v>
      </c>
      <c r="C31" s="9"/>
      <c r="D31" s="159"/>
      <c r="E31" s="159"/>
      <c r="F31" s="10"/>
      <c r="G31" s="121"/>
      <c r="H31" s="9"/>
      <c r="I31" s="159"/>
      <c r="J31" s="159"/>
      <c r="K31" s="10"/>
      <c r="L31" s="128"/>
      <c r="M31" s="23" t="s">
        <v>50</v>
      </c>
      <c r="N31" s="159">
        <v>2</v>
      </c>
      <c r="O31" s="159">
        <v>3</v>
      </c>
      <c r="P31" s="10">
        <v>5.6</v>
      </c>
      <c r="Q31" s="121"/>
      <c r="R31" s="9" t="s">
        <v>50</v>
      </c>
      <c r="S31" s="159">
        <v>0</v>
      </c>
      <c r="T31" s="159">
        <v>1</v>
      </c>
      <c r="U31" s="10">
        <v>5.88</v>
      </c>
      <c r="V31" s="128"/>
      <c r="W31" s="259" t="s">
        <v>41</v>
      </c>
      <c r="X31" s="4" t="s">
        <v>41</v>
      </c>
      <c r="Y31" s="4" t="s">
        <v>41</v>
      </c>
      <c r="Z31" s="10" t="s">
        <v>41</v>
      </c>
      <c r="AA31" s="128"/>
      <c r="AB31" s="15">
        <f t="shared" si="2"/>
        <v>2</v>
      </c>
      <c r="AC31" s="17">
        <f t="shared" si="0"/>
        <v>2</v>
      </c>
      <c r="AD31" s="17">
        <f t="shared" si="1"/>
        <v>4</v>
      </c>
      <c r="AE31" s="17">
        <f t="shared" si="3"/>
        <v>6</v>
      </c>
      <c r="AF31" s="17">
        <f t="shared" si="4"/>
        <v>0</v>
      </c>
      <c r="AG31" s="19">
        <f t="shared" si="5"/>
        <v>5.74</v>
      </c>
    </row>
    <row r="32" spans="2:33" x14ac:dyDescent="0.25">
      <c r="B32" s="237" t="s">
        <v>84</v>
      </c>
      <c r="C32" s="9"/>
      <c r="D32" s="159"/>
      <c r="E32" s="159"/>
      <c r="F32" s="10"/>
      <c r="G32" s="121"/>
      <c r="H32" s="9"/>
      <c r="I32" s="159"/>
      <c r="J32" s="159"/>
      <c r="K32" s="10"/>
      <c r="L32" s="128"/>
      <c r="M32" s="23"/>
      <c r="N32" s="159"/>
      <c r="O32" s="159"/>
      <c r="P32" s="10"/>
      <c r="Q32" s="121"/>
      <c r="R32" s="9"/>
      <c r="S32" s="159"/>
      <c r="T32" s="159"/>
      <c r="U32" s="10"/>
      <c r="V32" s="128"/>
      <c r="W32" s="259"/>
      <c r="X32" s="4"/>
      <c r="Y32" s="4"/>
      <c r="Z32" s="10"/>
      <c r="AA32" s="128"/>
      <c r="AB32" s="15">
        <f t="shared" si="2"/>
        <v>0</v>
      </c>
      <c r="AC32" s="17">
        <f t="shared" si="0"/>
        <v>0</v>
      </c>
      <c r="AD32" s="17">
        <f t="shared" si="1"/>
        <v>0</v>
      </c>
      <c r="AE32" s="17">
        <f t="shared" si="3"/>
        <v>0</v>
      </c>
      <c r="AF32" s="17">
        <f t="shared" si="4"/>
        <v>0</v>
      </c>
      <c r="AG32" s="19" t="str">
        <f t="shared" si="5"/>
        <v>-</v>
      </c>
    </row>
    <row r="33" spans="2:33" x14ac:dyDescent="0.25">
      <c r="B33" s="236" t="s">
        <v>24</v>
      </c>
      <c r="C33" s="9" t="s">
        <v>50</v>
      </c>
      <c r="D33" s="159">
        <v>2</v>
      </c>
      <c r="E33" s="159">
        <v>2</v>
      </c>
      <c r="F33" s="10">
        <v>7.18</v>
      </c>
      <c r="G33" s="121"/>
      <c r="H33" s="9" t="s">
        <v>50</v>
      </c>
      <c r="I33" s="159">
        <v>2</v>
      </c>
      <c r="J33" s="159">
        <v>0</v>
      </c>
      <c r="K33" s="10">
        <v>6.8</v>
      </c>
      <c r="L33" s="128"/>
      <c r="M33" s="23"/>
      <c r="N33" s="159"/>
      <c r="O33" s="159"/>
      <c r="P33" s="10"/>
      <c r="Q33" s="121"/>
      <c r="R33" s="9"/>
      <c r="S33" s="159"/>
      <c r="T33" s="159"/>
      <c r="U33" s="10"/>
      <c r="V33" s="128"/>
      <c r="W33" s="259" t="s">
        <v>41</v>
      </c>
      <c r="X33" s="4" t="s">
        <v>41</v>
      </c>
      <c r="Y33" s="4" t="s">
        <v>41</v>
      </c>
      <c r="Z33" s="10" t="s">
        <v>41</v>
      </c>
      <c r="AA33" s="128"/>
      <c r="AB33" s="15">
        <f t="shared" si="2"/>
        <v>2</v>
      </c>
      <c r="AC33" s="17">
        <f t="shared" si="0"/>
        <v>4</v>
      </c>
      <c r="AD33" s="17">
        <f t="shared" si="1"/>
        <v>2</v>
      </c>
      <c r="AE33" s="17">
        <f t="shared" si="3"/>
        <v>6</v>
      </c>
      <c r="AF33" s="17">
        <f t="shared" si="4"/>
        <v>0</v>
      </c>
      <c r="AG33" s="19">
        <f t="shared" si="5"/>
        <v>6.99</v>
      </c>
    </row>
    <row r="34" spans="2:33" x14ac:dyDescent="0.25">
      <c r="B34" s="236" t="s">
        <v>25</v>
      </c>
      <c r="C34" s="9" t="s">
        <v>50</v>
      </c>
      <c r="D34" s="159">
        <v>0</v>
      </c>
      <c r="E34" s="159">
        <v>0</v>
      </c>
      <c r="F34" s="10">
        <v>5.14</v>
      </c>
      <c r="G34" s="121"/>
      <c r="H34" s="9" t="s">
        <v>50</v>
      </c>
      <c r="I34" s="159">
        <v>0</v>
      </c>
      <c r="J34" s="159">
        <v>0</v>
      </c>
      <c r="K34" s="10">
        <v>4.88</v>
      </c>
      <c r="L34" s="128"/>
      <c r="M34" s="23" t="s">
        <v>50</v>
      </c>
      <c r="N34" s="159">
        <v>0</v>
      </c>
      <c r="O34" s="159">
        <v>1</v>
      </c>
      <c r="P34" s="10"/>
      <c r="Q34" s="121"/>
      <c r="R34" s="9"/>
      <c r="S34" s="159"/>
      <c r="T34" s="159"/>
      <c r="U34" s="10"/>
      <c r="V34" s="128"/>
      <c r="W34" s="259" t="s">
        <v>41</v>
      </c>
      <c r="X34" s="4" t="s">
        <v>41</v>
      </c>
      <c r="Y34" s="4" t="s">
        <v>41</v>
      </c>
      <c r="Z34" s="10" t="s">
        <v>41</v>
      </c>
      <c r="AA34" s="128"/>
      <c r="AB34" s="15">
        <f t="shared" si="2"/>
        <v>3</v>
      </c>
      <c r="AC34" s="17">
        <f t="shared" si="0"/>
        <v>0</v>
      </c>
      <c r="AD34" s="17">
        <f t="shared" si="1"/>
        <v>1</v>
      </c>
      <c r="AE34" s="17">
        <f t="shared" si="3"/>
        <v>1</v>
      </c>
      <c r="AF34" s="17">
        <f t="shared" si="4"/>
        <v>0</v>
      </c>
      <c r="AG34" s="19">
        <f t="shared" si="5"/>
        <v>5.01</v>
      </c>
    </row>
    <row r="35" spans="2:33" x14ac:dyDescent="0.25">
      <c r="B35" s="236" t="s">
        <v>26</v>
      </c>
      <c r="C35" s="9" t="s">
        <v>50</v>
      </c>
      <c r="D35" s="159">
        <v>0</v>
      </c>
      <c r="E35" s="159">
        <v>3</v>
      </c>
      <c r="F35" s="10">
        <v>5.18</v>
      </c>
      <c r="G35" s="121" t="s">
        <v>76</v>
      </c>
      <c r="H35" s="9"/>
      <c r="I35" s="159"/>
      <c r="J35" s="159"/>
      <c r="K35" s="10"/>
      <c r="L35" s="128"/>
      <c r="M35" s="23" t="s">
        <v>50</v>
      </c>
      <c r="N35" s="159">
        <v>5</v>
      </c>
      <c r="O35" s="159">
        <v>3</v>
      </c>
      <c r="P35" s="10"/>
      <c r="Q35" s="121" t="s">
        <v>76</v>
      </c>
      <c r="R35" s="9" t="s">
        <v>50</v>
      </c>
      <c r="S35" s="159">
        <v>1</v>
      </c>
      <c r="T35" s="159">
        <v>0</v>
      </c>
      <c r="U35" s="10">
        <v>5.34</v>
      </c>
      <c r="V35" s="128"/>
      <c r="W35" s="259" t="s">
        <v>41</v>
      </c>
      <c r="X35" s="4" t="s">
        <v>41</v>
      </c>
      <c r="Y35" s="4" t="s">
        <v>41</v>
      </c>
      <c r="Z35" s="10" t="s">
        <v>41</v>
      </c>
      <c r="AA35" s="128"/>
      <c r="AB35" s="15">
        <f t="shared" si="2"/>
        <v>3</v>
      </c>
      <c r="AC35" s="17">
        <f t="shared" si="0"/>
        <v>6</v>
      </c>
      <c r="AD35" s="17">
        <f t="shared" si="1"/>
        <v>6</v>
      </c>
      <c r="AE35" s="17">
        <f t="shared" si="3"/>
        <v>12</v>
      </c>
      <c r="AF35" s="17">
        <f t="shared" si="4"/>
        <v>2</v>
      </c>
      <c r="AG35" s="19">
        <f t="shared" si="5"/>
        <v>5.26</v>
      </c>
    </row>
    <row r="36" spans="2:33" x14ac:dyDescent="0.25">
      <c r="B36" s="236" t="s">
        <v>27</v>
      </c>
      <c r="C36" s="9"/>
      <c r="D36" s="159"/>
      <c r="E36" s="159"/>
      <c r="F36" s="10"/>
      <c r="G36" s="121"/>
      <c r="H36" s="9" t="s">
        <v>50</v>
      </c>
      <c r="I36" s="159">
        <v>0</v>
      </c>
      <c r="J36" s="159">
        <v>1</v>
      </c>
      <c r="K36" s="10">
        <v>5.08</v>
      </c>
      <c r="L36" s="128"/>
      <c r="M36" s="23" t="s">
        <v>50</v>
      </c>
      <c r="N36" s="159">
        <v>0</v>
      </c>
      <c r="O36" s="159">
        <v>1</v>
      </c>
      <c r="P36" s="10">
        <v>4.9000000000000004</v>
      </c>
      <c r="Q36" s="121"/>
      <c r="R36" s="9" t="s">
        <v>50</v>
      </c>
      <c r="S36" s="159">
        <v>1</v>
      </c>
      <c r="T36" s="159">
        <v>4</v>
      </c>
      <c r="U36" s="10">
        <v>6.46</v>
      </c>
      <c r="V36" s="128"/>
      <c r="W36" s="259" t="s">
        <v>41</v>
      </c>
      <c r="X36" s="4" t="s">
        <v>41</v>
      </c>
      <c r="Y36" s="4" t="s">
        <v>41</v>
      </c>
      <c r="Z36" s="10" t="s">
        <v>41</v>
      </c>
      <c r="AA36" s="128"/>
      <c r="AB36" s="15">
        <f t="shared" si="2"/>
        <v>3</v>
      </c>
      <c r="AC36" s="17">
        <f t="shared" si="0"/>
        <v>1</v>
      </c>
      <c r="AD36" s="17">
        <f t="shared" si="1"/>
        <v>6</v>
      </c>
      <c r="AE36" s="17">
        <f t="shared" si="3"/>
        <v>7</v>
      </c>
      <c r="AF36" s="17">
        <f t="shared" si="4"/>
        <v>0</v>
      </c>
      <c r="AG36" s="19">
        <f t="shared" si="5"/>
        <v>5.48</v>
      </c>
    </row>
    <row r="37" spans="2:33" x14ac:dyDescent="0.25">
      <c r="B37" s="236" t="s">
        <v>28</v>
      </c>
      <c r="C37" s="9" t="s">
        <v>50</v>
      </c>
      <c r="D37" s="159">
        <v>0</v>
      </c>
      <c r="E37" s="159">
        <v>0</v>
      </c>
      <c r="F37" s="10">
        <v>4.5999999999999996</v>
      </c>
      <c r="G37" s="121"/>
      <c r="H37" s="9" t="s">
        <v>50</v>
      </c>
      <c r="I37" s="159">
        <v>1</v>
      </c>
      <c r="J37" s="159">
        <v>1</v>
      </c>
      <c r="K37" s="10">
        <v>6.42</v>
      </c>
      <c r="L37" s="128" t="s">
        <v>76</v>
      </c>
      <c r="M37" s="23" t="s">
        <v>50</v>
      </c>
      <c r="N37" s="159">
        <v>1</v>
      </c>
      <c r="O37" s="159">
        <v>0</v>
      </c>
      <c r="P37" s="10">
        <v>4.54</v>
      </c>
      <c r="Q37" s="121"/>
      <c r="R37" s="9" t="s">
        <v>50</v>
      </c>
      <c r="S37" s="159">
        <v>0</v>
      </c>
      <c r="T37" s="159">
        <v>1</v>
      </c>
      <c r="U37" s="10">
        <v>5.66</v>
      </c>
      <c r="V37" s="128" t="s">
        <v>76</v>
      </c>
      <c r="W37" s="259" t="s">
        <v>41</v>
      </c>
      <c r="X37" s="4" t="s">
        <v>41</v>
      </c>
      <c r="Y37" s="4" t="s">
        <v>41</v>
      </c>
      <c r="Z37" s="10" t="s">
        <v>41</v>
      </c>
      <c r="AA37" s="128"/>
      <c r="AB37" s="15">
        <f t="shared" si="2"/>
        <v>4</v>
      </c>
      <c r="AC37" s="17">
        <f t="shared" si="0"/>
        <v>2</v>
      </c>
      <c r="AD37" s="17">
        <f t="shared" si="1"/>
        <v>2</v>
      </c>
      <c r="AE37" s="17">
        <f t="shared" si="3"/>
        <v>4</v>
      </c>
      <c r="AF37" s="17">
        <f t="shared" si="4"/>
        <v>2</v>
      </c>
      <c r="AG37" s="19">
        <f t="shared" si="5"/>
        <v>5.3049999999999997</v>
      </c>
    </row>
    <row r="38" spans="2:33" x14ac:dyDescent="0.25">
      <c r="B38" s="236" t="s">
        <v>77</v>
      </c>
      <c r="C38" s="9"/>
      <c r="D38" s="159"/>
      <c r="E38" s="159"/>
      <c r="F38" s="10"/>
      <c r="G38" s="121"/>
      <c r="H38" s="9"/>
      <c r="I38" s="159"/>
      <c r="J38" s="159"/>
      <c r="K38" s="10"/>
      <c r="L38" s="128"/>
      <c r="M38" s="23"/>
      <c r="N38" s="159"/>
      <c r="O38" s="159"/>
      <c r="P38" s="10"/>
      <c r="Q38" s="121"/>
      <c r="R38" s="9"/>
      <c r="S38" s="159"/>
      <c r="T38" s="159"/>
      <c r="U38" s="10"/>
      <c r="V38" s="128"/>
      <c r="W38" s="259" t="s">
        <v>41</v>
      </c>
      <c r="X38" s="4" t="s">
        <v>41</v>
      </c>
      <c r="Y38" s="4" t="s">
        <v>41</v>
      </c>
      <c r="Z38" s="10" t="s">
        <v>41</v>
      </c>
      <c r="AA38" s="128"/>
      <c r="AB38" s="15">
        <f t="shared" si="2"/>
        <v>0</v>
      </c>
      <c r="AC38" s="17">
        <f t="shared" si="0"/>
        <v>0</v>
      </c>
      <c r="AD38" s="17">
        <f t="shared" si="1"/>
        <v>0</v>
      </c>
      <c r="AE38" s="17">
        <f t="shared" si="3"/>
        <v>0</v>
      </c>
      <c r="AF38" s="17">
        <f t="shared" si="4"/>
        <v>0</v>
      </c>
      <c r="AG38" s="19" t="str">
        <f t="shared" si="5"/>
        <v>-</v>
      </c>
    </row>
    <row r="39" spans="2:33" x14ac:dyDescent="0.25">
      <c r="B39" s="236" t="s">
        <v>29</v>
      </c>
      <c r="C39" s="9" t="s">
        <v>50</v>
      </c>
      <c r="D39" s="159">
        <v>0</v>
      </c>
      <c r="E39" s="159">
        <v>0</v>
      </c>
      <c r="F39" s="10">
        <v>5.18</v>
      </c>
      <c r="G39" s="121" t="s">
        <v>76</v>
      </c>
      <c r="H39" s="9" t="s">
        <v>50</v>
      </c>
      <c r="I39" s="159">
        <v>1</v>
      </c>
      <c r="J39" s="159">
        <v>0</v>
      </c>
      <c r="K39" s="10">
        <v>5.26</v>
      </c>
      <c r="L39" s="128"/>
      <c r="M39" s="23" t="s">
        <v>50</v>
      </c>
      <c r="N39" s="159">
        <v>0</v>
      </c>
      <c r="O39" s="159">
        <v>1</v>
      </c>
      <c r="P39" s="10">
        <v>5.22</v>
      </c>
      <c r="Q39" s="121"/>
      <c r="R39" s="9" t="s">
        <v>50</v>
      </c>
      <c r="S39" s="159">
        <v>0</v>
      </c>
      <c r="T39" s="159">
        <v>0</v>
      </c>
      <c r="U39" s="10">
        <v>4.38</v>
      </c>
      <c r="V39" s="128"/>
      <c r="W39" s="259" t="s">
        <v>41</v>
      </c>
      <c r="X39" s="4" t="s">
        <v>41</v>
      </c>
      <c r="Y39" s="4" t="s">
        <v>41</v>
      </c>
      <c r="Z39" s="10" t="s">
        <v>41</v>
      </c>
      <c r="AA39" s="128"/>
      <c r="AB39" s="15">
        <f t="shared" si="2"/>
        <v>4</v>
      </c>
      <c r="AC39" s="17">
        <f t="shared" si="0"/>
        <v>1</v>
      </c>
      <c r="AD39" s="17">
        <f t="shared" si="1"/>
        <v>1</v>
      </c>
      <c r="AE39" s="17">
        <f t="shared" si="3"/>
        <v>2</v>
      </c>
      <c r="AF39" s="17">
        <f t="shared" si="4"/>
        <v>1</v>
      </c>
      <c r="AG39" s="19">
        <f t="shared" si="5"/>
        <v>5.01</v>
      </c>
    </row>
    <row r="40" spans="2:33" x14ac:dyDescent="0.25">
      <c r="B40" s="236" t="s">
        <v>30</v>
      </c>
      <c r="C40" s="9" t="s">
        <v>50</v>
      </c>
      <c r="D40" s="159">
        <v>0</v>
      </c>
      <c r="E40" s="159">
        <v>0</v>
      </c>
      <c r="F40" s="10">
        <v>7.04</v>
      </c>
      <c r="G40" s="121"/>
      <c r="H40" s="9" t="s">
        <v>50</v>
      </c>
      <c r="I40" s="159">
        <v>1</v>
      </c>
      <c r="J40" s="159">
        <v>4</v>
      </c>
      <c r="K40" s="10">
        <v>6.34</v>
      </c>
      <c r="L40" s="128"/>
      <c r="M40" s="23" t="s">
        <v>50</v>
      </c>
      <c r="N40" s="159">
        <v>2</v>
      </c>
      <c r="O40" s="159">
        <v>3</v>
      </c>
      <c r="P40" s="10">
        <v>6.6</v>
      </c>
      <c r="Q40" s="121" t="s">
        <v>76</v>
      </c>
      <c r="R40" s="9" t="s">
        <v>50</v>
      </c>
      <c r="S40" s="159">
        <v>2</v>
      </c>
      <c r="T40" s="159">
        <v>2</v>
      </c>
      <c r="U40" s="10">
        <v>5.7</v>
      </c>
      <c r="V40" s="128"/>
      <c r="W40" s="259" t="s">
        <v>41</v>
      </c>
      <c r="X40" s="4" t="s">
        <v>41</v>
      </c>
      <c r="Y40" s="4" t="s">
        <v>41</v>
      </c>
      <c r="Z40" s="10" t="s">
        <v>41</v>
      </c>
      <c r="AA40" s="128"/>
      <c r="AB40" s="15">
        <f t="shared" si="2"/>
        <v>4</v>
      </c>
      <c r="AC40" s="17">
        <f t="shared" si="0"/>
        <v>5</v>
      </c>
      <c r="AD40" s="17">
        <f t="shared" si="1"/>
        <v>9</v>
      </c>
      <c r="AE40" s="17">
        <f t="shared" si="3"/>
        <v>14</v>
      </c>
      <c r="AF40" s="17">
        <f t="shared" si="4"/>
        <v>1</v>
      </c>
      <c r="AG40" s="19">
        <f t="shared" si="5"/>
        <v>6.419999999999999</v>
      </c>
    </row>
    <row r="41" spans="2:33" x14ac:dyDescent="0.25">
      <c r="B41" s="236" t="s">
        <v>31</v>
      </c>
      <c r="C41" s="9" t="s">
        <v>50</v>
      </c>
      <c r="D41" s="159">
        <v>0</v>
      </c>
      <c r="E41" s="159">
        <v>1</v>
      </c>
      <c r="F41" s="10">
        <v>5.5</v>
      </c>
      <c r="G41" s="121"/>
      <c r="H41" s="9" t="s">
        <v>50</v>
      </c>
      <c r="I41" s="159">
        <v>1</v>
      </c>
      <c r="J41" s="159">
        <v>1</v>
      </c>
      <c r="K41" s="10">
        <v>6.42</v>
      </c>
      <c r="L41" s="128" t="s">
        <v>76</v>
      </c>
      <c r="M41" s="23" t="s">
        <v>50</v>
      </c>
      <c r="N41" s="159">
        <v>0</v>
      </c>
      <c r="O41" s="159">
        <v>2</v>
      </c>
      <c r="P41" s="10">
        <v>5.82</v>
      </c>
      <c r="Q41" s="121"/>
      <c r="R41" s="9" t="s">
        <v>50</v>
      </c>
      <c r="S41" s="159">
        <v>0</v>
      </c>
      <c r="T41" s="159">
        <v>0</v>
      </c>
      <c r="U41" s="10">
        <v>5.7</v>
      </c>
      <c r="V41" s="128" t="s">
        <v>76</v>
      </c>
      <c r="W41" s="259" t="s">
        <v>41</v>
      </c>
      <c r="X41" s="4" t="s">
        <v>41</v>
      </c>
      <c r="Y41" s="4" t="s">
        <v>41</v>
      </c>
      <c r="Z41" s="10" t="s">
        <v>41</v>
      </c>
      <c r="AA41" s="128"/>
      <c r="AB41" s="15">
        <f t="shared" si="2"/>
        <v>4</v>
      </c>
      <c r="AC41" s="17">
        <f t="shared" si="0"/>
        <v>1</v>
      </c>
      <c r="AD41" s="17">
        <f t="shared" si="1"/>
        <v>4</v>
      </c>
      <c r="AE41" s="17">
        <f t="shared" si="3"/>
        <v>5</v>
      </c>
      <c r="AF41" s="17">
        <f t="shared" si="4"/>
        <v>2</v>
      </c>
      <c r="AG41" s="19">
        <f t="shared" si="5"/>
        <v>5.86</v>
      </c>
    </row>
    <row r="42" spans="2:33" x14ac:dyDescent="0.25">
      <c r="B42" s="236" t="s">
        <v>32</v>
      </c>
      <c r="C42" s="9" t="s">
        <v>50</v>
      </c>
      <c r="D42" s="159">
        <v>1</v>
      </c>
      <c r="E42" s="159">
        <v>1</v>
      </c>
      <c r="F42" s="10">
        <v>6.28</v>
      </c>
      <c r="G42" s="121" t="s">
        <v>76</v>
      </c>
      <c r="H42" s="9" t="s">
        <v>50</v>
      </c>
      <c r="I42" s="159">
        <v>2</v>
      </c>
      <c r="J42" s="159">
        <v>0</v>
      </c>
      <c r="K42" s="10">
        <v>6.26</v>
      </c>
      <c r="L42" s="128"/>
      <c r="M42" s="23" t="s">
        <v>50</v>
      </c>
      <c r="N42" s="159">
        <v>4</v>
      </c>
      <c r="O42" s="159">
        <v>2</v>
      </c>
      <c r="P42" s="10">
        <v>6.86</v>
      </c>
      <c r="Q42" s="121"/>
      <c r="R42" s="9" t="s">
        <v>50</v>
      </c>
      <c r="S42" s="159">
        <v>1</v>
      </c>
      <c r="T42" s="159">
        <v>0</v>
      </c>
      <c r="U42" s="10">
        <v>6.08</v>
      </c>
      <c r="V42" s="128"/>
      <c r="W42" s="259" t="s">
        <v>41</v>
      </c>
      <c r="X42" s="4" t="s">
        <v>41</v>
      </c>
      <c r="Y42" s="4" t="s">
        <v>41</v>
      </c>
      <c r="Z42" s="10" t="s">
        <v>41</v>
      </c>
      <c r="AA42" s="128"/>
      <c r="AB42" s="15">
        <f t="shared" si="2"/>
        <v>4</v>
      </c>
      <c r="AC42" s="17">
        <f t="shared" si="0"/>
        <v>8</v>
      </c>
      <c r="AD42" s="17">
        <f t="shared" si="1"/>
        <v>3</v>
      </c>
      <c r="AE42" s="17">
        <f t="shared" si="3"/>
        <v>11</v>
      </c>
      <c r="AF42" s="17">
        <f t="shared" si="4"/>
        <v>1</v>
      </c>
      <c r="AG42" s="19">
        <f t="shared" si="5"/>
        <v>6.3699999999999992</v>
      </c>
    </row>
    <row r="43" spans="2:33" x14ac:dyDescent="0.25">
      <c r="B43" s="236" t="s">
        <v>33</v>
      </c>
      <c r="C43" s="9"/>
      <c r="D43" s="159"/>
      <c r="E43" s="159"/>
      <c r="F43" s="10"/>
      <c r="G43" s="121"/>
      <c r="H43" s="9" t="s">
        <v>50</v>
      </c>
      <c r="I43" s="159">
        <v>1</v>
      </c>
      <c r="J43" s="159">
        <v>1</v>
      </c>
      <c r="K43" s="10">
        <v>5.16</v>
      </c>
      <c r="L43" s="128" t="s">
        <v>76</v>
      </c>
      <c r="M43" s="23" t="s">
        <v>50</v>
      </c>
      <c r="N43" s="159">
        <v>0</v>
      </c>
      <c r="O43" s="159">
        <v>0</v>
      </c>
      <c r="P43" s="10">
        <v>4.54</v>
      </c>
      <c r="Q43" s="121"/>
      <c r="R43" s="9" t="s">
        <v>50</v>
      </c>
      <c r="S43" s="159">
        <v>0</v>
      </c>
      <c r="T43" s="159">
        <v>0</v>
      </c>
      <c r="U43" s="10">
        <v>4.58</v>
      </c>
      <c r="V43" s="128"/>
      <c r="W43" s="259" t="s">
        <v>41</v>
      </c>
      <c r="X43" s="4" t="s">
        <v>41</v>
      </c>
      <c r="Y43" s="4" t="s">
        <v>41</v>
      </c>
      <c r="Z43" s="10" t="s">
        <v>41</v>
      </c>
      <c r="AA43" s="128"/>
      <c r="AB43" s="15">
        <f t="shared" si="2"/>
        <v>3</v>
      </c>
      <c r="AC43" s="17">
        <f t="shared" si="0"/>
        <v>1</v>
      </c>
      <c r="AD43" s="17">
        <f t="shared" si="1"/>
        <v>1</v>
      </c>
      <c r="AE43" s="17">
        <f t="shared" si="3"/>
        <v>2</v>
      </c>
      <c r="AF43" s="17">
        <f t="shared" si="4"/>
        <v>1</v>
      </c>
      <c r="AG43" s="19">
        <f t="shared" si="5"/>
        <v>4.76</v>
      </c>
    </row>
    <row r="44" spans="2:33" x14ac:dyDescent="0.25">
      <c r="B44" s="236" t="s">
        <v>34</v>
      </c>
      <c r="C44" s="9" t="s">
        <v>50</v>
      </c>
      <c r="D44" s="159">
        <v>0</v>
      </c>
      <c r="E44" s="159">
        <v>0</v>
      </c>
      <c r="F44" s="10">
        <v>4.5</v>
      </c>
      <c r="G44" s="121"/>
      <c r="H44" s="9" t="s">
        <v>50</v>
      </c>
      <c r="I44" s="159">
        <v>0</v>
      </c>
      <c r="J44" s="159">
        <v>1</v>
      </c>
      <c r="K44" s="10">
        <v>5.42</v>
      </c>
      <c r="L44" s="128"/>
      <c r="M44" s="23" t="s">
        <v>50</v>
      </c>
      <c r="N44" s="159">
        <v>0</v>
      </c>
      <c r="O44" s="159">
        <v>2</v>
      </c>
      <c r="P44" s="10">
        <v>4.5</v>
      </c>
      <c r="Q44" s="121"/>
      <c r="R44" s="9"/>
      <c r="S44" s="159"/>
      <c r="T44" s="159"/>
      <c r="U44" s="10"/>
      <c r="V44" s="128"/>
      <c r="W44" s="259" t="s">
        <v>41</v>
      </c>
      <c r="X44" s="4" t="s">
        <v>41</v>
      </c>
      <c r="Y44" s="4" t="s">
        <v>41</v>
      </c>
      <c r="Z44" s="10" t="s">
        <v>41</v>
      </c>
      <c r="AA44" s="128"/>
      <c r="AB44" s="15">
        <f t="shared" si="2"/>
        <v>3</v>
      </c>
      <c r="AC44" s="17">
        <f t="shared" si="0"/>
        <v>0</v>
      </c>
      <c r="AD44" s="17">
        <f t="shared" si="1"/>
        <v>3</v>
      </c>
      <c r="AE44" s="17">
        <f t="shared" si="3"/>
        <v>3</v>
      </c>
      <c r="AF44" s="17">
        <f t="shared" si="4"/>
        <v>0</v>
      </c>
      <c r="AG44" s="19">
        <f t="shared" si="5"/>
        <v>4.8066666666666666</v>
      </c>
    </row>
    <row r="45" spans="2:33" x14ac:dyDescent="0.25">
      <c r="B45" s="236" t="s">
        <v>35</v>
      </c>
      <c r="C45" s="9" t="s">
        <v>50</v>
      </c>
      <c r="D45" s="159">
        <v>0</v>
      </c>
      <c r="E45" s="159">
        <v>0</v>
      </c>
      <c r="F45" s="10">
        <v>5</v>
      </c>
      <c r="G45" s="121"/>
      <c r="H45" s="9" t="s">
        <v>50</v>
      </c>
      <c r="I45" s="159">
        <v>0</v>
      </c>
      <c r="J45" s="159">
        <v>0</v>
      </c>
      <c r="K45" s="10">
        <v>4.92</v>
      </c>
      <c r="L45" s="128"/>
      <c r="M45" s="23"/>
      <c r="N45" s="159"/>
      <c r="O45" s="159"/>
      <c r="P45" s="10"/>
      <c r="Q45" s="121"/>
      <c r="R45" s="9"/>
      <c r="S45" s="159"/>
      <c r="T45" s="159"/>
      <c r="U45" s="10"/>
      <c r="V45" s="128"/>
      <c r="W45" s="259" t="s">
        <v>41</v>
      </c>
      <c r="X45" s="4" t="s">
        <v>41</v>
      </c>
      <c r="Y45" s="4" t="s">
        <v>41</v>
      </c>
      <c r="Z45" s="10" t="s">
        <v>41</v>
      </c>
      <c r="AA45" s="128"/>
      <c r="AB45" s="15">
        <f t="shared" si="2"/>
        <v>2</v>
      </c>
      <c r="AC45" s="17">
        <f t="shared" si="0"/>
        <v>0</v>
      </c>
      <c r="AD45" s="17">
        <f t="shared" si="1"/>
        <v>0</v>
      </c>
      <c r="AE45" s="17">
        <f t="shared" si="3"/>
        <v>0</v>
      </c>
      <c r="AF45" s="17">
        <f t="shared" si="4"/>
        <v>0</v>
      </c>
      <c r="AG45" s="19">
        <f>IFERROR(AVERAGE(F45,K45,P45,U45,Z45),"-")</f>
        <v>4.96</v>
      </c>
    </row>
    <row r="46" spans="2:33" x14ac:dyDescent="0.25">
      <c r="B46" s="236" t="s">
        <v>36</v>
      </c>
      <c r="C46" s="9" t="s">
        <v>50</v>
      </c>
      <c r="D46" s="159">
        <v>0</v>
      </c>
      <c r="E46" s="159">
        <v>0</v>
      </c>
      <c r="F46" s="10">
        <v>5.64</v>
      </c>
      <c r="G46" s="121"/>
      <c r="H46" s="9" t="s">
        <v>50</v>
      </c>
      <c r="I46" s="159">
        <v>0</v>
      </c>
      <c r="J46" s="159">
        <v>0</v>
      </c>
      <c r="K46" s="10">
        <v>6.2</v>
      </c>
      <c r="L46" s="128"/>
      <c r="M46" s="23" t="s">
        <v>50</v>
      </c>
      <c r="N46" s="159">
        <v>0</v>
      </c>
      <c r="O46" s="159">
        <v>0</v>
      </c>
      <c r="P46" s="10">
        <v>6</v>
      </c>
      <c r="Q46" s="121" t="s">
        <v>76</v>
      </c>
      <c r="R46" s="9"/>
      <c r="S46" s="159"/>
      <c r="T46" s="159"/>
      <c r="U46" s="10"/>
      <c r="V46" s="128"/>
      <c r="W46" s="259" t="s">
        <v>41</v>
      </c>
      <c r="X46" s="4" t="s">
        <v>41</v>
      </c>
      <c r="Y46" s="4" t="s">
        <v>41</v>
      </c>
      <c r="Z46" s="10" t="s">
        <v>41</v>
      </c>
      <c r="AA46" s="128"/>
      <c r="AB46" s="112">
        <f t="shared" si="2"/>
        <v>3</v>
      </c>
      <c r="AC46" s="17">
        <f t="shared" si="0"/>
        <v>0</v>
      </c>
      <c r="AD46" s="65">
        <f t="shared" si="1"/>
        <v>0</v>
      </c>
      <c r="AE46" s="65">
        <f t="shared" si="3"/>
        <v>0</v>
      </c>
      <c r="AF46" s="17">
        <f t="shared" si="4"/>
        <v>1</v>
      </c>
      <c r="AG46" s="69">
        <f>IFERROR(AVERAGE(F46,K46,P46,U46,Z46),"-")</f>
        <v>5.9466666666666663</v>
      </c>
    </row>
    <row r="47" spans="2:33" ht="15.75" thickBot="1" x14ac:dyDescent="0.3">
      <c r="B47" s="236" t="s">
        <v>37</v>
      </c>
      <c r="C47" s="9" t="s">
        <v>50</v>
      </c>
      <c r="D47" s="159">
        <v>1</v>
      </c>
      <c r="E47" s="159">
        <v>0</v>
      </c>
      <c r="F47" s="10">
        <v>5</v>
      </c>
      <c r="G47" s="121"/>
      <c r="H47" s="9" t="s">
        <v>50</v>
      </c>
      <c r="I47" s="159">
        <v>1</v>
      </c>
      <c r="J47" s="159">
        <v>0</v>
      </c>
      <c r="K47" s="10">
        <v>5.12</v>
      </c>
      <c r="L47" s="128"/>
      <c r="M47" s="23" t="s">
        <v>50</v>
      </c>
      <c r="N47" s="159">
        <v>0</v>
      </c>
      <c r="O47" s="159">
        <v>1</v>
      </c>
      <c r="P47" s="10">
        <v>5.86</v>
      </c>
      <c r="Q47" s="121" t="s">
        <v>76</v>
      </c>
      <c r="R47" s="9" t="s">
        <v>50</v>
      </c>
      <c r="S47" s="159">
        <v>0</v>
      </c>
      <c r="T47" s="159">
        <v>0</v>
      </c>
      <c r="U47" s="10">
        <v>5.62</v>
      </c>
      <c r="V47" s="128"/>
      <c r="W47" s="259" t="s">
        <v>41</v>
      </c>
      <c r="X47" s="4" t="s">
        <v>41</v>
      </c>
      <c r="Y47" s="4" t="s">
        <v>41</v>
      </c>
      <c r="Z47" s="10" t="s">
        <v>41</v>
      </c>
      <c r="AA47" s="128"/>
      <c r="AB47" s="16">
        <f t="shared" ref="AB47" si="6">COUNTIF(C47:Z47,"P")</f>
        <v>4</v>
      </c>
      <c r="AC47" s="17">
        <f t="shared" si="0"/>
        <v>2</v>
      </c>
      <c r="AD47" s="18">
        <f t="shared" ref="AD47" si="7">SUM(E47,J47,O47,T47,Y47)</f>
        <v>1</v>
      </c>
      <c r="AE47" s="18">
        <f t="shared" ref="AE47" si="8">SUM(AC47+AD47)</f>
        <v>3</v>
      </c>
      <c r="AF47" s="17">
        <f t="shared" si="4"/>
        <v>1</v>
      </c>
      <c r="AG47" s="25">
        <f t="shared" ref="AG47" si="9">IFERROR(AVERAGE(F47,K47,P47,U47,Z47),"-")</f>
        <v>5.4</v>
      </c>
    </row>
    <row r="48" spans="2:33" ht="15.75" thickBot="1" x14ac:dyDescent="0.3">
      <c r="B48" s="237" t="s">
        <v>85</v>
      </c>
      <c r="C48" s="9"/>
      <c r="D48" s="159"/>
      <c r="E48" s="159"/>
      <c r="F48" s="10"/>
      <c r="G48" s="121"/>
      <c r="H48" s="9"/>
      <c r="I48" s="159"/>
      <c r="J48" s="159"/>
      <c r="K48" s="10"/>
      <c r="L48" s="128"/>
      <c r="M48" s="23"/>
      <c r="N48" s="159"/>
      <c r="O48" s="159"/>
      <c r="P48" s="10"/>
      <c r="Q48" s="121"/>
      <c r="R48" s="9"/>
      <c r="S48" s="159"/>
      <c r="T48" s="159"/>
      <c r="U48" s="10"/>
      <c r="V48" s="128"/>
      <c r="W48" s="263"/>
      <c r="X48" s="110"/>
      <c r="Y48" s="110"/>
      <c r="Z48" s="109"/>
      <c r="AA48" s="129"/>
      <c r="AB48" s="16">
        <f t="shared" ref="AB48" si="10">COUNTIF(C48:Z48,"P")</f>
        <v>0</v>
      </c>
      <c r="AC48" s="17">
        <f t="shared" si="0"/>
        <v>0</v>
      </c>
      <c r="AD48" s="18">
        <f t="shared" ref="AD48" si="11">SUM(E48,J48,O48,T48,Y48)</f>
        <v>0</v>
      </c>
      <c r="AE48" s="18">
        <f t="shared" ref="AE48" si="12">SUM(AC48+AD48)</f>
        <v>0</v>
      </c>
      <c r="AF48" s="17">
        <f t="shared" si="4"/>
        <v>0</v>
      </c>
      <c r="AG48" s="25" t="str">
        <f t="shared" ref="AG48" si="13">IFERROR(AVERAGE(F48,K48,P48,U48,Z48),"-")</f>
        <v>-</v>
      </c>
    </row>
    <row r="49" spans="2:33" ht="15.75" thickBot="1" x14ac:dyDescent="0.3">
      <c r="B49" s="236" t="s">
        <v>38</v>
      </c>
      <c r="C49" s="107"/>
      <c r="D49" s="108"/>
      <c r="E49" s="108"/>
      <c r="F49" s="109"/>
      <c r="G49" s="122"/>
      <c r="H49" s="107"/>
      <c r="I49" s="108"/>
      <c r="J49" s="108"/>
      <c r="K49" s="109"/>
      <c r="L49" s="129"/>
      <c r="M49" s="245"/>
      <c r="N49" s="108"/>
      <c r="O49" s="108"/>
      <c r="P49" s="109"/>
      <c r="Q49" s="122"/>
      <c r="R49" s="9" t="s">
        <v>50</v>
      </c>
      <c r="S49" s="159">
        <v>0</v>
      </c>
      <c r="T49" s="159">
        <v>2</v>
      </c>
      <c r="U49" s="10">
        <v>7.16</v>
      </c>
      <c r="V49" s="129"/>
      <c r="W49" s="261" t="s">
        <v>41</v>
      </c>
      <c r="X49" s="14" t="s">
        <v>41</v>
      </c>
      <c r="Y49" s="14" t="s">
        <v>41</v>
      </c>
      <c r="Z49" s="13" t="s">
        <v>41</v>
      </c>
      <c r="AA49" s="127"/>
      <c r="AB49" s="16">
        <f t="shared" ref="AB49" si="14">COUNTIF(C49:Z49,"P")</f>
        <v>1</v>
      </c>
      <c r="AC49" s="17">
        <f t="shared" ref="AC49" si="15">SUM(D49,I49,N49,S49,X49)</f>
        <v>0</v>
      </c>
      <c r="AD49" s="18">
        <f t="shared" ref="AD49" si="16">SUM(E49,J49,O49,T49,Y49)</f>
        <v>2</v>
      </c>
      <c r="AE49" s="18">
        <f t="shared" ref="AE49" si="17">SUM(AC49+AD49)</f>
        <v>2</v>
      </c>
      <c r="AF49" s="17">
        <f t="shared" si="4"/>
        <v>0</v>
      </c>
      <c r="AG49" s="25">
        <f t="shared" ref="AG49" si="18">IFERROR(AVERAGE(F49,K49,P49,U49,Z49),"-")</f>
        <v>7.16</v>
      </c>
    </row>
    <row r="50" spans="2:33" ht="15.75" thickBot="1" x14ac:dyDescent="0.3">
      <c r="B50" s="236" t="s">
        <v>39</v>
      </c>
      <c r="C50" s="11"/>
      <c r="D50" s="12"/>
      <c r="E50" s="12"/>
      <c r="F50" s="13"/>
      <c r="G50" s="123"/>
      <c r="H50" s="11"/>
      <c r="I50" s="12"/>
      <c r="J50" s="12"/>
      <c r="K50" s="13"/>
      <c r="L50" s="127"/>
      <c r="M50" s="24" t="s">
        <v>50</v>
      </c>
      <c r="N50" s="12">
        <v>1</v>
      </c>
      <c r="O50" s="12">
        <v>0</v>
      </c>
      <c r="P50" s="13">
        <v>5.54</v>
      </c>
      <c r="Q50" s="123"/>
      <c r="R50" s="11"/>
      <c r="S50" s="12"/>
      <c r="T50" s="12"/>
      <c r="U50" s="13"/>
      <c r="V50" s="127"/>
      <c r="W50" s="261" t="s">
        <v>41</v>
      </c>
      <c r="X50" s="14" t="s">
        <v>41</v>
      </c>
      <c r="Y50" s="14" t="s">
        <v>41</v>
      </c>
      <c r="Z50" s="13" t="s">
        <v>41</v>
      </c>
      <c r="AA50" s="127"/>
      <c r="AB50" s="16">
        <f t="shared" ref="AB50" si="19">COUNTIF(C50:Z50,"P")</f>
        <v>1</v>
      </c>
      <c r="AC50" s="17">
        <f t="shared" ref="AC50" si="20">SUM(D50,I50,N50,S50,X50)</f>
        <v>1</v>
      </c>
      <c r="AD50" s="18">
        <f t="shared" ref="AD50" si="21">SUM(E50,J50,O50,T50,Y50)</f>
        <v>0</v>
      </c>
      <c r="AE50" s="18">
        <f t="shared" ref="AE50" si="22">SUM(AC50+AD50)</f>
        <v>1</v>
      </c>
      <c r="AF50" s="17">
        <f t="shared" ref="AF50" si="23">COUNTIF(G50:AA50,"F")</f>
        <v>0</v>
      </c>
      <c r="AG50" s="25">
        <f t="shared" ref="AG50" si="24">IFERROR(AVERAGE(F50,K50,P50,U50,Z50),"-")</f>
        <v>5.54</v>
      </c>
    </row>
    <row r="51" spans="2:33" ht="15.75" thickBot="1" x14ac:dyDescent="0.3">
      <c r="B51" s="237" t="s">
        <v>80</v>
      </c>
      <c r="C51" s="11"/>
      <c r="D51" s="12"/>
      <c r="E51" s="12"/>
      <c r="F51" s="13"/>
      <c r="G51" s="123"/>
      <c r="H51" s="11"/>
      <c r="I51" s="12"/>
      <c r="J51" s="12"/>
      <c r="K51" s="13"/>
      <c r="L51" s="127"/>
      <c r="M51" s="24"/>
      <c r="N51" s="12"/>
      <c r="O51" s="12"/>
      <c r="P51" s="13"/>
      <c r="Q51" s="123"/>
      <c r="R51" s="11"/>
      <c r="S51" s="12"/>
      <c r="T51" s="12"/>
      <c r="U51" s="13"/>
      <c r="V51" s="127"/>
      <c r="W51" s="261"/>
      <c r="X51" s="14"/>
      <c r="Y51" s="14"/>
      <c r="Z51" s="13"/>
      <c r="AA51" s="127"/>
      <c r="AB51" s="16">
        <f t="shared" ref="AB51:AB52" si="25">COUNTIF(C51:Z51,"P")</f>
        <v>0</v>
      </c>
      <c r="AC51" s="17">
        <f t="shared" ref="AC51:AC52" si="26">SUM(D51,I51,N51,S51,X51)</f>
        <v>0</v>
      </c>
      <c r="AD51" s="18">
        <f t="shared" ref="AD51:AD52" si="27">SUM(E51,J51,O51,T51,Y51)</f>
        <v>0</v>
      </c>
      <c r="AE51" s="18">
        <f t="shared" ref="AE51:AE52" si="28">SUM(AC51+AD51)</f>
        <v>0</v>
      </c>
      <c r="AF51" s="17">
        <f t="shared" ref="AF51:AF52" si="29">COUNTIF(G51:AA51,"F")</f>
        <v>0</v>
      </c>
      <c r="AG51" s="25" t="str">
        <f t="shared" ref="AG51:AG52" si="30">IFERROR(AVERAGE(F51,K51,P51,U51,Z51),"-")</f>
        <v>-</v>
      </c>
    </row>
    <row r="52" spans="2:33" ht="15.75" thickBot="1" x14ac:dyDescent="0.3">
      <c r="B52" s="238" t="s">
        <v>81</v>
      </c>
      <c r="C52" s="11"/>
      <c r="D52" s="12"/>
      <c r="E52" s="12"/>
      <c r="F52" s="13"/>
      <c r="G52" s="123"/>
      <c r="H52" s="11"/>
      <c r="I52" s="12"/>
      <c r="J52" s="12"/>
      <c r="K52" s="13"/>
      <c r="L52" s="127"/>
      <c r="M52" s="24"/>
      <c r="N52" s="12"/>
      <c r="O52" s="12"/>
      <c r="P52" s="13"/>
      <c r="Q52" s="123"/>
      <c r="R52" s="11"/>
      <c r="S52" s="12"/>
      <c r="T52" s="12"/>
      <c r="U52" s="13"/>
      <c r="V52" s="127"/>
      <c r="W52" s="261"/>
      <c r="X52" s="14"/>
      <c r="Y52" s="14"/>
      <c r="Z52" s="13"/>
      <c r="AA52" s="127"/>
      <c r="AB52" s="16">
        <f t="shared" si="25"/>
        <v>0</v>
      </c>
      <c r="AC52" s="18">
        <f t="shared" si="26"/>
        <v>0</v>
      </c>
      <c r="AD52" s="18">
        <f t="shared" si="27"/>
        <v>0</v>
      </c>
      <c r="AE52" s="18">
        <f t="shared" si="28"/>
        <v>0</v>
      </c>
      <c r="AF52" s="18">
        <f t="shared" si="29"/>
        <v>0</v>
      </c>
      <c r="AG52" s="25" t="str">
        <f t="shared" si="30"/>
        <v>-</v>
      </c>
    </row>
    <row r="53" spans="2:33" x14ac:dyDescent="0.25">
      <c r="B53" s="93"/>
      <c r="C53" s="166"/>
      <c r="D53" s="166"/>
      <c r="E53" s="166"/>
      <c r="F53" s="167"/>
      <c r="G53" s="167"/>
      <c r="H53" s="166"/>
      <c r="I53" s="166"/>
      <c r="J53" s="166"/>
      <c r="K53" s="167"/>
      <c r="L53" s="167"/>
      <c r="M53" s="166"/>
      <c r="N53" s="166"/>
      <c r="O53" s="166"/>
      <c r="P53" s="167"/>
      <c r="Q53" s="167"/>
      <c r="R53" s="166"/>
      <c r="S53" s="166"/>
      <c r="T53" s="166"/>
      <c r="U53" s="167"/>
      <c r="V53" s="167"/>
      <c r="W53" s="167"/>
      <c r="X53" s="167"/>
      <c r="Y53" s="167"/>
      <c r="Z53" s="167"/>
      <c r="AA53" s="167"/>
    </row>
    <row r="54" spans="2:33" x14ac:dyDescent="0.25">
      <c r="B54" s="93"/>
      <c r="C54" s="166"/>
      <c r="D54" s="166"/>
      <c r="E54" s="166"/>
      <c r="F54" s="167"/>
      <c r="G54" s="167"/>
      <c r="H54" s="166"/>
      <c r="I54" s="166"/>
      <c r="J54" s="166"/>
      <c r="K54" s="167"/>
      <c r="L54" s="167"/>
      <c r="M54" s="166"/>
      <c r="N54" s="166"/>
      <c r="O54" s="166"/>
      <c r="P54" s="167"/>
      <c r="Q54" s="167"/>
      <c r="R54" s="166"/>
      <c r="S54" s="166"/>
      <c r="T54" s="166"/>
      <c r="U54" s="167"/>
      <c r="V54" s="167"/>
      <c r="W54" s="167"/>
      <c r="X54" s="167"/>
      <c r="Y54" s="167"/>
      <c r="Z54" s="167"/>
      <c r="AA54" s="167"/>
    </row>
    <row r="55" spans="2:33" x14ac:dyDescent="0.25">
      <c r="B55" s="93"/>
      <c r="C55" s="166"/>
      <c r="D55" s="166"/>
      <c r="E55" s="166"/>
      <c r="F55" s="167"/>
      <c r="G55" s="167"/>
      <c r="H55" s="166"/>
      <c r="I55" s="166"/>
      <c r="J55" s="166"/>
      <c r="K55" s="167"/>
      <c r="L55" s="167"/>
      <c r="M55" s="166"/>
      <c r="N55" s="166"/>
      <c r="O55" s="166"/>
      <c r="P55" s="167"/>
      <c r="Q55" s="167"/>
      <c r="R55" s="166"/>
      <c r="S55" s="166"/>
      <c r="T55" s="166"/>
      <c r="U55" s="167"/>
      <c r="V55" s="167"/>
      <c r="W55" s="167"/>
      <c r="X55" s="167"/>
      <c r="Y55" s="167"/>
      <c r="Z55" s="167"/>
      <c r="AA55" s="167"/>
    </row>
    <row r="56" spans="2:33" x14ac:dyDescent="0.25">
      <c r="B56" s="93"/>
      <c r="C56" s="166"/>
      <c r="D56" s="166"/>
      <c r="E56" s="166"/>
      <c r="F56" s="167"/>
      <c r="G56" s="167"/>
      <c r="H56" s="166"/>
      <c r="I56" s="166"/>
      <c r="J56" s="166"/>
      <c r="K56" s="167"/>
      <c r="L56" s="167"/>
      <c r="M56" s="166"/>
      <c r="N56" s="166"/>
      <c r="O56" s="166"/>
      <c r="P56" s="167"/>
      <c r="Q56" s="167"/>
      <c r="R56" s="166"/>
      <c r="S56" s="166"/>
      <c r="T56" s="166"/>
      <c r="U56" s="167"/>
      <c r="V56" s="167"/>
      <c r="W56" s="167"/>
      <c r="X56" s="167"/>
      <c r="Y56" s="167"/>
      <c r="Z56" s="167"/>
      <c r="AA56" s="167"/>
    </row>
    <row r="57" spans="2:33" x14ac:dyDescent="0.25">
      <c r="B57" s="93"/>
      <c r="C57" s="166"/>
      <c r="D57" s="166"/>
      <c r="E57" s="166"/>
      <c r="F57" s="167"/>
      <c r="G57" s="167"/>
      <c r="H57" s="166"/>
      <c r="I57" s="166"/>
      <c r="J57" s="166"/>
      <c r="K57" s="167"/>
      <c r="L57" s="167"/>
      <c r="M57" s="166"/>
      <c r="N57" s="166"/>
      <c r="O57" s="166"/>
      <c r="P57" s="167"/>
      <c r="Q57" s="167"/>
      <c r="R57" s="166"/>
      <c r="S57" s="166"/>
      <c r="T57" s="166"/>
      <c r="U57" s="167"/>
      <c r="V57" s="167"/>
      <c r="W57" s="167"/>
      <c r="X57" s="167"/>
      <c r="Y57" s="167"/>
      <c r="Z57" s="167"/>
      <c r="AA57" s="167"/>
    </row>
  </sheetData>
  <sortState xmlns:xlrd2="http://schemas.microsoft.com/office/spreadsheetml/2017/richdata2" ref="B5:AA57">
    <sortCondition ref="B5:B57"/>
  </sortState>
  <mergeCells count="12">
    <mergeCell ref="B1:AG2"/>
    <mergeCell ref="AG3:AG4"/>
    <mergeCell ref="B3:B4"/>
    <mergeCell ref="AB3:AB4"/>
    <mergeCell ref="AC3:AC4"/>
    <mergeCell ref="AD3:AD4"/>
    <mergeCell ref="AE3:AE4"/>
    <mergeCell ref="C3:G3"/>
    <mergeCell ref="H3:L3"/>
    <mergeCell ref="M3:Q3"/>
    <mergeCell ref="R3:V3"/>
    <mergeCell ref="W3:AA3"/>
  </mergeCells>
  <conditionalFormatting sqref="AB5:AB52">
    <cfRule type="dataBar" priority="4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{831238C9-24AA-4EF0-BF7D-D689E9FD9669}</x14:id>
        </ext>
      </extLst>
    </cfRule>
  </conditionalFormatting>
  <conditionalFormatting sqref="AC3:AC1048576">
    <cfRule type="top10" dxfId="108" priority="7" rank="1"/>
    <cfRule type="top10" dxfId="107" priority="8" rank="5"/>
  </conditionalFormatting>
  <conditionalFormatting sqref="AD3:AF3 AD4 AD5:AF1048576">
    <cfRule type="top10" dxfId="106" priority="5" rank="1"/>
    <cfRule type="top10" dxfId="105" priority="6" rank="5"/>
  </conditionalFormatting>
  <conditionalFormatting sqref="AG3:AG1048576">
    <cfRule type="top10" dxfId="104" priority="3" rank="1"/>
    <cfRule type="top10" dxfId="103" priority="4" rank="5"/>
  </conditionalFormatting>
  <pageMargins left="0.511811024" right="0.511811024" top="0.78740157499999996" bottom="0.78740157499999996" header="0.31496062000000002" footer="0.31496062000000002"/>
  <pageSetup paperSize="9" orientation="portrait" horizontalDpi="4294967292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1238C9-24AA-4EF0-BF7D-D689E9FD966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AB5:AB52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B436F-740C-4801-B43C-07B9D7B4E446}">
  <sheetPr codeName="Planilha5"/>
  <dimension ref="A1:AG57"/>
  <sheetViews>
    <sheetView showGridLines="0" topLeftCell="O1" zoomScale="80" zoomScaleNormal="80" workbookViewId="0">
      <pane ySplit="4" topLeftCell="A5" activePane="bottomLeft" state="frozen"/>
      <selection activeCell="B47" sqref="B47"/>
      <selection pane="bottomLeft" activeCell="B47" sqref="B47"/>
    </sheetView>
  </sheetViews>
  <sheetFormatPr defaultRowHeight="15" x14ac:dyDescent="0.25"/>
  <cols>
    <col min="1" max="1" width="7.140625" customWidth="1"/>
    <col min="2" max="2" width="28.42578125" style="6" customWidth="1"/>
    <col min="3" max="3" width="9.140625" customWidth="1"/>
    <col min="6" max="7" width="9.140625" style="5"/>
    <col min="11" max="12" width="9.140625" style="5"/>
    <col min="16" max="17" width="9.140625" style="5"/>
    <col min="21" max="27" width="9.140625" style="5"/>
    <col min="28" max="28" width="14.7109375" customWidth="1"/>
    <col min="29" max="29" width="14.5703125" style="2" customWidth="1"/>
    <col min="30" max="32" width="13.85546875" style="2" customWidth="1"/>
    <col min="33" max="33" width="13.5703125" style="5" customWidth="1"/>
  </cols>
  <sheetData>
    <row r="1" spans="1:33" ht="15" customHeight="1" x14ac:dyDescent="0.25">
      <c r="B1" s="271" t="s">
        <v>42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</row>
    <row r="2" spans="1:33" ht="15" customHeight="1" thickBot="1" x14ac:dyDescent="0.3">
      <c r="A2" s="1"/>
      <c r="B2" s="274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75"/>
      <c r="AC2" s="275"/>
      <c r="AD2" s="275"/>
      <c r="AE2" s="275"/>
      <c r="AF2" s="275"/>
      <c r="AG2" s="275"/>
    </row>
    <row r="3" spans="1:33" x14ac:dyDescent="0.25">
      <c r="B3" s="279" t="s">
        <v>0</v>
      </c>
      <c r="C3" s="285">
        <v>45720</v>
      </c>
      <c r="D3" s="286"/>
      <c r="E3" s="286"/>
      <c r="F3" s="307"/>
      <c r="G3" s="118"/>
      <c r="H3" s="287">
        <f>C3+7</f>
        <v>45727</v>
      </c>
      <c r="I3" s="288"/>
      <c r="J3" s="288"/>
      <c r="K3" s="289"/>
      <c r="L3" s="162"/>
      <c r="M3" s="290">
        <f>H3+7</f>
        <v>45734</v>
      </c>
      <c r="N3" s="290"/>
      <c r="O3" s="290"/>
      <c r="P3" s="308"/>
      <c r="Q3" s="119"/>
      <c r="R3" s="291">
        <f>M3+7</f>
        <v>45741</v>
      </c>
      <c r="S3" s="292"/>
      <c r="T3" s="292"/>
      <c r="U3" s="293"/>
      <c r="V3" s="163"/>
      <c r="W3" s="294" t="s">
        <v>41</v>
      </c>
      <c r="X3" s="294"/>
      <c r="Y3" s="294"/>
      <c r="Z3" s="295"/>
      <c r="AA3" s="124"/>
      <c r="AB3" s="279" t="s">
        <v>45</v>
      </c>
      <c r="AC3" s="281" t="s">
        <v>46</v>
      </c>
      <c r="AD3" s="281" t="s">
        <v>47</v>
      </c>
      <c r="AE3" s="281" t="s">
        <v>72</v>
      </c>
      <c r="AF3" s="160"/>
      <c r="AG3" s="299" t="s">
        <v>48</v>
      </c>
    </row>
    <row r="4" spans="1:33" ht="15.75" thickBot="1" x14ac:dyDescent="0.3">
      <c r="B4" s="301"/>
      <c r="C4" s="191" t="s">
        <v>49</v>
      </c>
      <c r="D4" s="192" t="s">
        <v>43</v>
      </c>
      <c r="E4" s="192" t="s">
        <v>2</v>
      </c>
      <c r="F4" s="194" t="s">
        <v>40</v>
      </c>
      <c r="G4" s="209"/>
      <c r="H4" s="195" t="s">
        <v>49</v>
      </c>
      <c r="I4" s="196" t="s">
        <v>43</v>
      </c>
      <c r="J4" s="196" t="s">
        <v>2</v>
      </c>
      <c r="K4" s="198" t="s">
        <v>40</v>
      </c>
      <c r="L4" s="248"/>
      <c r="M4" s="214" t="s">
        <v>49</v>
      </c>
      <c r="N4" s="199" t="s">
        <v>44</v>
      </c>
      <c r="O4" s="199" t="s">
        <v>2</v>
      </c>
      <c r="P4" s="201" t="s">
        <v>40</v>
      </c>
      <c r="Q4" s="210"/>
      <c r="R4" s="202" t="s">
        <v>49</v>
      </c>
      <c r="S4" s="203" t="s">
        <v>43</v>
      </c>
      <c r="T4" s="203" t="s">
        <v>2</v>
      </c>
      <c r="U4" s="205" t="s">
        <v>40</v>
      </c>
      <c r="V4" s="264"/>
      <c r="W4" s="262" t="s">
        <v>49</v>
      </c>
      <c r="X4" s="211" t="s">
        <v>43</v>
      </c>
      <c r="Y4" s="211" t="s">
        <v>2</v>
      </c>
      <c r="Z4" s="212" t="s">
        <v>40</v>
      </c>
      <c r="AA4" s="213"/>
      <c r="AB4" s="301"/>
      <c r="AC4" s="302"/>
      <c r="AD4" s="302"/>
      <c r="AE4" s="302"/>
      <c r="AF4" s="164"/>
      <c r="AG4" s="300"/>
    </row>
    <row r="5" spans="1:33" x14ac:dyDescent="0.25">
      <c r="B5" s="236" t="s">
        <v>3</v>
      </c>
      <c r="C5" s="165"/>
      <c r="D5" s="186"/>
      <c r="E5" s="186"/>
      <c r="F5" s="188"/>
      <c r="G5" s="233"/>
      <c r="H5" s="165"/>
      <c r="I5" s="186"/>
      <c r="J5" s="186"/>
      <c r="K5" s="188"/>
      <c r="L5" s="234" t="s">
        <v>76</v>
      </c>
      <c r="M5" s="235" t="s">
        <v>50</v>
      </c>
      <c r="N5" s="186">
        <v>4</v>
      </c>
      <c r="O5" s="186">
        <v>2</v>
      </c>
      <c r="P5" s="188">
        <v>7.4</v>
      </c>
      <c r="Q5" s="233" t="s">
        <v>76</v>
      </c>
      <c r="R5" s="165"/>
      <c r="S5" s="186"/>
      <c r="T5" s="186"/>
      <c r="U5" s="188"/>
      <c r="V5" s="234"/>
      <c r="W5" s="260" t="s">
        <v>41</v>
      </c>
      <c r="X5" s="224" t="s">
        <v>41</v>
      </c>
      <c r="Y5" s="224" t="s">
        <v>41</v>
      </c>
      <c r="Z5" s="188" t="s">
        <v>41</v>
      </c>
      <c r="AA5" s="234"/>
      <c r="AB5" s="15">
        <f>COUNTIF(C5:Z5,"P")</f>
        <v>1</v>
      </c>
      <c r="AC5" s="17">
        <f t="shared" ref="AC5:AC48" si="0">SUM(D5,I5,N5,S5,X5)</f>
        <v>4</v>
      </c>
      <c r="AD5" s="17">
        <f t="shared" ref="AD5:AD46" si="1">SUM(E5,J5,O5,T5,Y5)</f>
        <v>2</v>
      </c>
      <c r="AE5" s="17">
        <f>SUM(AC5+AD5)</f>
        <v>6</v>
      </c>
      <c r="AF5" s="17">
        <f>COUNTIF(G5:AA5,"F")</f>
        <v>2</v>
      </c>
      <c r="AG5" s="19">
        <f>IFERROR(AVERAGE(F5,K5,P5,U5,Z5),"-")</f>
        <v>7.4</v>
      </c>
    </row>
    <row r="6" spans="1:33" x14ac:dyDescent="0.25">
      <c r="B6" s="236" t="s">
        <v>4</v>
      </c>
      <c r="C6" s="9" t="s">
        <v>50</v>
      </c>
      <c r="D6" s="159">
        <v>0</v>
      </c>
      <c r="E6" s="159">
        <v>0</v>
      </c>
      <c r="F6" s="10">
        <v>5</v>
      </c>
      <c r="G6" s="121" t="s">
        <v>76</v>
      </c>
      <c r="H6" s="9"/>
      <c r="I6" s="159"/>
      <c r="J6" s="159"/>
      <c r="K6" s="10"/>
      <c r="L6" s="128"/>
      <c r="M6" s="23" t="s">
        <v>50</v>
      </c>
      <c r="N6" s="159">
        <v>0</v>
      </c>
      <c r="O6" s="159">
        <v>2</v>
      </c>
      <c r="P6" s="10">
        <v>6.34</v>
      </c>
      <c r="Q6" s="121" t="s">
        <v>76</v>
      </c>
      <c r="R6" s="9" t="s">
        <v>50</v>
      </c>
      <c r="S6" s="159">
        <v>1</v>
      </c>
      <c r="T6" s="159">
        <v>2</v>
      </c>
      <c r="U6" s="10">
        <v>5.94</v>
      </c>
      <c r="V6" s="128"/>
      <c r="W6" s="259" t="s">
        <v>41</v>
      </c>
      <c r="X6" s="4" t="s">
        <v>41</v>
      </c>
      <c r="Y6" s="4" t="s">
        <v>41</v>
      </c>
      <c r="Z6" s="10" t="s">
        <v>41</v>
      </c>
      <c r="AA6" s="128"/>
      <c r="AB6" s="15">
        <f t="shared" ref="AB6:AB46" si="2">COUNTIF(C6:Z6,"P")</f>
        <v>3</v>
      </c>
      <c r="AC6" s="17">
        <f t="shared" si="0"/>
        <v>1</v>
      </c>
      <c r="AD6" s="17">
        <f t="shared" si="1"/>
        <v>4</v>
      </c>
      <c r="AE6" s="17">
        <f t="shared" ref="AE6:AE46" si="3">SUM(AC6+AD6)</f>
        <v>5</v>
      </c>
      <c r="AF6" s="17">
        <f t="shared" ref="AF6:AF49" si="4">COUNTIF(G6:AA6,"F")</f>
        <v>2</v>
      </c>
      <c r="AG6" s="19">
        <f t="shared" ref="AG6:AG46" si="5">IFERROR(AVERAGE(F6,K6,P6,U6,Z6),"-")</f>
        <v>5.7600000000000007</v>
      </c>
    </row>
    <row r="7" spans="1:33" x14ac:dyDescent="0.25">
      <c r="B7" s="236" t="s">
        <v>5</v>
      </c>
      <c r="C7" s="9" t="s">
        <v>50</v>
      </c>
      <c r="D7" s="159">
        <v>0</v>
      </c>
      <c r="E7" s="159">
        <v>0</v>
      </c>
      <c r="F7" s="10">
        <v>6.64</v>
      </c>
      <c r="G7" s="121" t="s">
        <v>76</v>
      </c>
      <c r="H7" s="9" t="s">
        <v>50</v>
      </c>
      <c r="I7" s="159">
        <v>0</v>
      </c>
      <c r="J7" s="159">
        <v>0</v>
      </c>
      <c r="K7" s="10">
        <v>6.4</v>
      </c>
      <c r="L7" s="128"/>
      <c r="M7" s="23"/>
      <c r="N7" s="159"/>
      <c r="O7" s="159"/>
      <c r="P7" s="10"/>
      <c r="Q7" s="121"/>
      <c r="R7" s="9" t="s">
        <v>50</v>
      </c>
      <c r="S7" s="159">
        <v>0</v>
      </c>
      <c r="T7" s="159">
        <v>0</v>
      </c>
      <c r="U7" s="10">
        <v>7.8</v>
      </c>
      <c r="V7" s="128" t="s">
        <v>76</v>
      </c>
      <c r="W7" s="259" t="s">
        <v>41</v>
      </c>
      <c r="X7" s="4" t="s">
        <v>41</v>
      </c>
      <c r="Y7" s="4" t="s">
        <v>41</v>
      </c>
      <c r="Z7" s="10" t="s">
        <v>41</v>
      </c>
      <c r="AA7" s="128"/>
      <c r="AB7" s="15">
        <f t="shared" si="2"/>
        <v>3</v>
      </c>
      <c r="AC7" s="17">
        <f t="shared" si="0"/>
        <v>0</v>
      </c>
      <c r="AD7" s="17">
        <f t="shared" si="1"/>
        <v>0</v>
      </c>
      <c r="AE7" s="17">
        <f t="shared" si="3"/>
        <v>0</v>
      </c>
      <c r="AF7" s="17">
        <f t="shared" si="4"/>
        <v>2</v>
      </c>
      <c r="AG7" s="19">
        <f t="shared" si="5"/>
        <v>6.9466666666666663</v>
      </c>
    </row>
    <row r="8" spans="1:33" x14ac:dyDescent="0.25">
      <c r="B8" s="236" t="s">
        <v>74</v>
      </c>
      <c r="C8" s="9"/>
      <c r="D8" s="159"/>
      <c r="E8" s="159"/>
      <c r="F8" s="10"/>
      <c r="G8" s="121"/>
      <c r="H8" s="9"/>
      <c r="I8" s="159"/>
      <c r="J8" s="159"/>
      <c r="K8" s="10"/>
      <c r="L8" s="128"/>
      <c r="M8" s="23"/>
      <c r="N8" s="159"/>
      <c r="O8" s="159"/>
      <c r="P8" s="10"/>
      <c r="Q8" s="121"/>
      <c r="R8" s="9"/>
      <c r="S8" s="159"/>
      <c r="T8" s="159"/>
      <c r="U8" s="10"/>
      <c r="V8" s="128"/>
      <c r="W8" s="259" t="s">
        <v>41</v>
      </c>
      <c r="X8" s="4" t="s">
        <v>41</v>
      </c>
      <c r="Y8" s="4" t="s">
        <v>41</v>
      </c>
      <c r="Z8" s="10" t="s">
        <v>41</v>
      </c>
      <c r="AA8" s="128"/>
      <c r="AB8" s="15">
        <f t="shared" si="2"/>
        <v>0</v>
      </c>
      <c r="AC8" s="17">
        <f t="shared" si="0"/>
        <v>0</v>
      </c>
      <c r="AD8" s="17">
        <f t="shared" si="1"/>
        <v>0</v>
      </c>
      <c r="AE8" s="17">
        <f t="shared" si="3"/>
        <v>0</v>
      </c>
      <c r="AF8" s="17">
        <f t="shared" si="4"/>
        <v>0</v>
      </c>
      <c r="AG8" s="19" t="str">
        <f t="shared" si="5"/>
        <v>-</v>
      </c>
    </row>
    <row r="9" spans="1:33" x14ac:dyDescent="0.25">
      <c r="B9" s="236" t="s">
        <v>6</v>
      </c>
      <c r="C9" s="9"/>
      <c r="D9" s="159"/>
      <c r="E9" s="159"/>
      <c r="F9" s="10"/>
      <c r="G9" s="121"/>
      <c r="H9" s="9" t="s">
        <v>50</v>
      </c>
      <c r="I9" s="159">
        <v>1</v>
      </c>
      <c r="J9" s="159">
        <v>0</v>
      </c>
      <c r="K9" s="10">
        <v>5.4</v>
      </c>
      <c r="L9" s="128"/>
      <c r="M9" s="23" t="s">
        <v>50</v>
      </c>
      <c r="N9" s="159">
        <v>0</v>
      </c>
      <c r="O9" s="159">
        <v>0</v>
      </c>
      <c r="P9" s="10">
        <v>4.66</v>
      </c>
      <c r="Q9" s="121"/>
      <c r="R9" s="9"/>
      <c r="S9" s="159"/>
      <c r="T9" s="159"/>
      <c r="U9" s="10"/>
      <c r="V9" s="128"/>
      <c r="W9" s="259" t="s">
        <v>41</v>
      </c>
      <c r="X9" s="4" t="s">
        <v>41</v>
      </c>
      <c r="Y9" s="4" t="s">
        <v>41</v>
      </c>
      <c r="Z9" s="10" t="s">
        <v>41</v>
      </c>
      <c r="AA9" s="128"/>
      <c r="AB9" s="15">
        <f t="shared" si="2"/>
        <v>2</v>
      </c>
      <c r="AC9" s="17">
        <f t="shared" si="0"/>
        <v>1</v>
      </c>
      <c r="AD9" s="17">
        <f t="shared" si="1"/>
        <v>0</v>
      </c>
      <c r="AE9" s="17">
        <f t="shared" si="3"/>
        <v>1</v>
      </c>
      <c r="AF9" s="17">
        <f t="shared" si="4"/>
        <v>0</v>
      </c>
      <c r="AG9" s="19">
        <f t="shared" si="5"/>
        <v>5.03</v>
      </c>
    </row>
    <row r="10" spans="1:33" x14ac:dyDescent="0.25">
      <c r="B10" s="236" t="s">
        <v>7</v>
      </c>
      <c r="C10" s="9"/>
      <c r="D10" s="159"/>
      <c r="E10" s="159"/>
      <c r="F10" s="10"/>
      <c r="G10" s="121"/>
      <c r="H10" s="9"/>
      <c r="I10" s="159"/>
      <c r="J10" s="159"/>
      <c r="K10" s="10"/>
      <c r="L10" s="128"/>
      <c r="M10" s="23"/>
      <c r="N10" s="159"/>
      <c r="O10" s="159"/>
      <c r="P10" s="10"/>
      <c r="Q10" s="121"/>
      <c r="R10" s="9"/>
      <c r="S10" s="159"/>
      <c r="T10" s="159"/>
      <c r="U10" s="10"/>
      <c r="V10" s="128"/>
      <c r="W10" s="259" t="s">
        <v>41</v>
      </c>
      <c r="X10" s="4" t="s">
        <v>41</v>
      </c>
      <c r="Y10" s="4" t="s">
        <v>41</v>
      </c>
      <c r="Z10" s="10" t="s">
        <v>41</v>
      </c>
      <c r="AA10" s="128"/>
      <c r="AB10" s="15">
        <f t="shared" si="2"/>
        <v>0</v>
      </c>
      <c r="AC10" s="17">
        <f t="shared" si="0"/>
        <v>0</v>
      </c>
      <c r="AD10" s="17">
        <f t="shared" si="1"/>
        <v>0</v>
      </c>
      <c r="AE10" s="17">
        <f t="shared" si="3"/>
        <v>0</v>
      </c>
      <c r="AF10" s="17">
        <f t="shared" si="4"/>
        <v>0</v>
      </c>
      <c r="AG10" s="19" t="str">
        <f t="shared" si="5"/>
        <v>-</v>
      </c>
    </row>
    <row r="11" spans="1:33" x14ac:dyDescent="0.25">
      <c r="B11" s="236" t="s">
        <v>8</v>
      </c>
      <c r="C11" s="9"/>
      <c r="D11" s="159"/>
      <c r="E11" s="159"/>
      <c r="F11" s="10"/>
      <c r="G11" s="121"/>
      <c r="H11" s="9" t="s">
        <v>50</v>
      </c>
      <c r="I11" s="159">
        <v>3</v>
      </c>
      <c r="J11" s="159">
        <v>1</v>
      </c>
      <c r="K11" s="10">
        <v>7.48</v>
      </c>
      <c r="L11" s="128" t="s">
        <v>76</v>
      </c>
      <c r="M11" s="23" t="s">
        <v>50</v>
      </c>
      <c r="N11" s="159">
        <v>0</v>
      </c>
      <c r="O11" s="159">
        <v>0</v>
      </c>
      <c r="P11" s="10">
        <v>7.52</v>
      </c>
      <c r="Q11" s="121" t="s">
        <v>76</v>
      </c>
      <c r="R11" s="9"/>
      <c r="S11" s="159"/>
      <c r="T11" s="159"/>
      <c r="U11" s="10"/>
      <c r="V11" s="128"/>
      <c r="W11" s="259" t="s">
        <v>41</v>
      </c>
      <c r="X11" s="4" t="s">
        <v>41</v>
      </c>
      <c r="Y11" s="4" t="s">
        <v>41</v>
      </c>
      <c r="Z11" s="10" t="s">
        <v>41</v>
      </c>
      <c r="AA11" s="128"/>
      <c r="AB11" s="15">
        <f t="shared" si="2"/>
        <v>2</v>
      </c>
      <c r="AC11" s="17">
        <f t="shared" si="0"/>
        <v>3</v>
      </c>
      <c r="AD11" s="17">
        <f t="shared" si="1"/>
        <v>1</v>
      </c>
      <c r="AE11" s="17">
        <f t="shared" si="3"/>
        <v>4</v>
      </c>
      <c r="AF11" s="17">
        <f t="shared" si="4"/>
        <v>2</v>
      </c>
      <c r="AG11" s="19">
        <f t="shared" si="5"/>
        <v>7.5</v>
      </c>
    </row>
    <row r="12" spans="1:33" x14ac:dyDescent="0.25">
      <c r="B12" s="236" t="s">
        <v>9</v>
      </c>
      <c r="C12" s="9"/>
      <c r="D12" s="159"/>
      <c r="E12" s="159"/>
      <c r="F12" s="10"/>
      <c r="G12" s="121"/>
      <c r="H12" s="9" t="s">
        <v>50</v>
      </c>
      <c r="I12" s="159">
        <v>2</v>
      </c>
      <c r="J12" s="159">
        <v>0</v>
      </c>
      <c r="K12" s="10">
        <v>6.96</v>
      </c>
      <c r="L12" s="128"/>
      <c r="M12" s="23" t="s">
        <v>50</v>
      </c>
      <c r="N12" s="159">
        <v>2</v>
      </c>
      <c r="O12" s="159">
        <v>2</v>
      </c>
      <c r="P12" s="10">
        <v>6.86</v>
      </c>
      <c r="Q12" s="121"/>
      <c r="R12" s="9"/>
      <c r="S12" s="159"/>
      <c r="T12" s="159"/>
      <c r="U12" s="10"/>
      <c r="V12" s="128"/>
      <c r="W12" s="259" t="s">
        <v>41</v>
      </c>
      <c r="X12" s="4" t="s">
        <v>41</v>
      </c>
      <c r="Y12" s="4" t="s">
        <v>41</v>
      </c>
      <c r="Z12" s="10" t="s">
        <v>41</v>
      </c>
      <c r="AA12" s="128"/>
      <c r="AB12" s="15">
        <f t="shared" si="2"/>
        <v>2</v>
      </c>
      <c r="AC12" s="17">
        <f t="shared" si="0"/>
        <v>4</v>
      </c>
      <c r="AD12" s="17">
        <f t="shared" si="1"/>
        <v>2</v>
      </c>
      <c r="AE12" s="17">
        <f t="shared" si="3"/>
        <v>6</v>
      </c>
      <c r="AF12" s="17">
        <f t="shared" si="4"/>
        <v>0</v>
      </c>
      <c r="AG12" s="19">
        <f t="shared" si="5"/>
        <v>6.91</v>
      </c>
    </row>
    <row r="13" spans="1:33" x14ac:dyDescent="0.25">
      <c r="B13" s="236" t="s">
        <v>10</v>
      </c>
      <c r="C13" s="9" t="s">
        <v>50</v>
      </c>
      <c r="D13" s="159">
        <v>0</v>
      </c>
      <c r="E13" s="159">
        <v>1</v>
      </c>
      <c r="F13" s="10">
        <v>4</v>
      </c>
      <c r="G13" s="121"/>
      <c r="H13" s="9" t="s">
        <v>50</v>
      </c>
      <c r="I13" s="159">
        <v>0</v>
      </c>
      <c r="J13" s="159">
        <v>1</v>
      </c>
      <c r="K13" s="10">
        <v>5.52</v>
      </c>
      <c r="L13" s="128"/>
      <c r="M13" s="23"/>
      <c r="N13" s="159"/>
      <c r="O13" s="159"/>
      <c r="P13" s="10"/>
      <c r="Q13" s="121"/>
      <c r="R13" s="9" t="s">
        <v>50</v>
      </c>
      <c r="S13" s="159">
        <v>4</v>
      </c>
      <c r="T13" s="159">
        <v>0</v>
      </c>
      <c r="U13" s="10">
        <v>6.94</v>
      </c>
      <c r="V13" s="128"/>
      <c r="W13" s="259" t="s">
        <v>41</v>
      </c>
      <c r="X13" s="4" t="s">
        <v>41</v>
      </c>
      <c r="Y13" s="4" t="s">
        <v>41</v>
      </c>
      <c r="Z13" s="10" t="s">
        <v>41</v>
      </c>
      <c r="AA13" s="128"/>
      <c r="AB13" s="15">
        <f t="shared" si="2"/>
        <v>3</v>
      </c>
      <c r="AC13" s="17">
        <f t="shared" si="0"/>
        <v>4</v>
      </c>
      <c r="AD13" s="17">
        <f t="shared" si="1"/>
        <v>2</v>
      </c>
      <c r="AE13" s="17">
        <f t="shared" si="3"/>
        <v>6</v>
      </c>
      <c r="AF13" s="17">
        <f t="shared" si="4"/>
        <v>0</v>
      </c>
      <c r="AG13" s="19">
        <f t="shared" si="5"/>
        <v>5.4866666666666672</v>
      </c>
    </row>
    <row r="14" spans="1:33" x14ac:dyDescent="0.25">
      <c r="B14" s="236" t="s">
        <v>11</v>
      </c>
      <c r="C14" s="9"/>
      <c r="D14" s="159"/>
      <c r="E14" s="159"/>
      <c r="F14" s="10"/>
      <c r="G14" s="121"/>
      <c r="H14" s="9" t="s">
        <v>50</v>
      </c>
      <c r="I14" s="159">
        <v>2</v>
      </c>
      <c r="J14" s="159">
        <v>0</v>
      </c>
      <c r="K14" s="10">
        <v>7</v>
      </c>
      <c r="L14" s="128"/>
      <c r="M14" s="23"/>
      <c r="N14" s="159"/>
      <c r="O14" s="159"/>
      <c r="P14" s="10"/>
      <c r="Q14" s="121"/>
      <c r="R14" s="9"/>
      <c r="S14" s="159"/>
      <c r="T14" s="159"/>
      <c r="U14" s="10"/>
      <c r="V14" s="128"/>
      <c r="W14" s="259" t="s">
        <v>41</v>
      </c>
      <c r="X14" s="4" t="s">
        <v>41</v>
      </c>
      <c r="Y14" s="4" t="s">
        <v>41</v>
      </c>
      <c r="Z14" s="10" t="s">
        <v>41</v>
      </c>
      <c r="AA14" s="128"/>
      <c r="AB14" s="15">
        <f t="shared" si="2"/>
        <v>1</v>
      </c>
      <c r="AC14" s="17">
        <f t="shared" si="0"/>
        <v>2</v>
      </c>
      <c r="AD14" s="17">
        <f t="shared" si="1"/>
        <v>0</v>
      </c>
      <c r="AE14" s="17">
        <f t="shared" si="3"/>
        <v>2</v>
      </c>
      <c r="AF14" s="17">
        <f t="shared" si="4"/>
        <v>0</v>
      </c>
      <c r="AG14" s="19">
        <f t="shared" si="5"/>
        <v>7</v>
      </c>
    </row>
    <row r="15" spans="1:33" x14ac:dyDescent="0.25">
      <c r="B15" s="237" t="s">
        <v>83</v>
      </c>
      <c r="C15" s="9"/>
      <c r="D15" s="159"/>
      <c r="E15" s="159"/>
      <c r="F15" s="10"/>
      <c r="G15" s="121"/>
      <c r="H15" s="9"/>
      <c r="I15" s="159"/>
      <c r="J15" s="159"/>
      <c r="K15" s="10"/>
      <c r="L15" s="128"/>
      <c r="M15" s="23"/>
      <c r="N15" s="159"/>
      <c r="O15" s="159"/>
      <c r="P15" s="10"/>
      <c r="Q15" s="121"/>
      <c r="R15" s="9"/>
      <c r="S15" s="159"/>
      <c r="T15" s="159"/>
      <c r="U15" s="10"/>
      <c r="V15" s="128"/>
      <c r="W15" s="259"/>
      <c r="X15" s="4"/>
      <c r="Y15" s="4"/>
      <c r="Z15" s="10"/>
      <c r="AA15" s="128"/>
      <c r="AB15" s="15">
        <f t="shared" si="2"/>
        <v>0</v>
      </c>
      <c r="AC15" s="17">
        <f t="shared" si="0"/>
        <v>0</v>
      </c>
      <c r="AD15" s="17">
        <f t="shared" si="1"/>
        <v>0</v>
      </c>
      <c r="AE15" s="17">
        <f t="shared" si="3"/>
        <v>0</v>
      </c>
      <c r="AF15" s="17">
        <f t="shared" si="4"/>
        <v>0</v>
      </c>
      <c r="AG15" s="19" t="str">
        <f t="shared" si="5"/>
        <v>-</v>
      </c>
    </row>
    <row r="16" spans="1:33" x14ac:dyDescent="0.25">
      <c r="B16" s="236" t="s">
        <v>12</v>
      </c>
      <c r="C16" s="9" t="s">
        <v>50</v>
      </c>
      <c r="D16" s="159">
        <v>0</v>
      </c>
      <c r="E16" s="159">
        <v>0</v>
      </c>
      <c r="F16" s="10">
        <v>7</v>
      </c>
      <c r="G16" s="121"/>
      <c r="H16" s="9" t="s">
        <v>50</v>
      </c>
      <c r="I16" s="159">
        <v>0</v>
      </c>
      <c r="J16" s="159">
        <v>0</v>
      </c>
      <c r="K16" s="10">
        <v>5.34</v>
      </c>
      <c r="L16" s="128"/>
      <c r="M16" s="23" t="s">
        <v>50</v>
      </c>
      <c r="N16" s="159">
        <v>0</v>
      </c>
      <c r="O16" s="159">
        <v>0</v>
      </c>
      <c r="P16" s="10">
        <v>5.0999999999999996</v>
      </c>
      <c r="Q16" s="121"/>
      <c r="R16" s="9" t="s">
        <v>50</v>
      </c>
      <c r="S16" s="159">
        <v>0</v>
      </c>
      <c r="T16" s="159">
        <v>2</v>
      </c>
      <c r="U16" s="10">
        <v>6.78</v>
      </c>
      <c r="V16" s="128"/>
      <c r="W16" s="259" t="s">
        <v>41</v>
      </c>
      <c r="X16" s="4" t="s">
        <v>41</v>
      </c>
      <c r="Y16" s="4" t="s">
        <v>41</v>
      </c>
      <c r="Z16" s="10" t="s">
        <v>41</v>
      </c>
      <c r="AA16" s="128"/>
      <c r="AB16" s="15">
        <f t="shared" si="2"/>
        <v>4</v>
      </c>
      <c r="AC16" s="17">
        <f t="shared" si="0"/>
        <v>0</v>
      </c>
      <c r="AD16" s="17">
        <f t="shared" si="1"/>
        <v>2</v>
      </c>
      <c r="AE16" s="17">
        <f t="shared" si="3"/>
        <v>2</v>
      </c>
      <c r="AF16" s="17">
        <f t="shared" si="4"/>
        <v>0</v>
      </c>
      <c r="AG16" s="19">
        <f t="shared" si="5"/>
        <v>6.0549999999999997</v>
      </c>
    </row>
    <row r="17" spans="2:33" x14ac:dyDescent="0.25">
      <c r="B17" s="236" t="s">
        <v>56</v>
      </c>
      <c r="C17" s="9" t="s">
        <v>50</v>
      </c>
      <c r="D17" s="159">
        <v>0</v>
      </c>
      <c r="E17" s="159">
        <v>0</v>
      </c>
      <c r="F17" s="10">
        <v>6.14</v>
      </c>
      <c r="G17" s="121"/>
      <c r="H17" s="9"/>
      <c r="I17" s="159"/>
      <c r="J17" s="159"/>
      <c r="K17" s="10"/>
      <c r="L17" s="128"/>
      <c r="M17" s="23"/>
      <c r="N17" s="159"/>
      <c r="O17" s="159"/>
      <c r="P17" s="10"/>
      <c r="Q17" s="121"/>
      <c r="R17" s="9"/>
      <c r="S17" s="159"/>
      <c r="T17" s="159"/>
      <c r="U17" s="10"/>
      <c r="V17" s="128"/>
      <c r="W17" s="259" t="s">
        <v>41</v>
      </c>
      <c r="X17" s="4" t="s">
        <v>41</v>
      </c>
      <c r="Y17" s="4" t="s">
        <v>41</v>
      </c>
      <c r="Z17" s="10" t="s">
        <v>41</v>
      </c>
      <c r="AA17" s="128"/>
      <c r="AB17" s="15">
        <f t="shared" si="2"/>
        <v>1</v>
      </c>
      <c r="AC17" s="17">
        <f t="shared" si="0"/>
        <v>0</v>
      </c>
      <c r="AD17" s="17">
        <f t="shared" si="1"/>
        <v>0</v>
      </c>
      <c r="AE17" s="17">
        <f t="shared" si="3"/>
        <v>0</v>
      </c>
      <c r="AF17" s="17">
        <f t="shared" si="4"/>
        <v>0</v>
      </c>
      <c r="AG17" s="19">
        <f t="shared" si="5"/>
        <v>6.14</v>
      </c>
    </row>
    <row r="18" spans="2:33" x14ac:dyDescent="0.25">
      <c r="B18" s="236" t="s">
        <v>13</v>
      </c>
      <c r="C18" s="9"/>
      <c r="D18" s="159"/>
      <c r="E18" s="159"/>
      <c r="F18" s="10"/>
      <c r="G18" s="121"/>
      <c r="H18" s="9"/>
      <c r="I18" s="159"/>
      <c r="J18" s="159"/>
      <c r="K18" s="10"/>
      <c r="L18" s="128"/>
      <c r="M18" s="23"/>
      <c r="N18" s="159"/>
      <c r="O18" s="159"/>
      <c r="P18" s="10"/>
      <c r="Q18" s="121"/>
      <c r="R18" s="9"/>
      <c r="S18" s="159"/>
      <c r="T18" s="159"/>
      <c r="U18" s="10"/>
      <c r="V18" s="128"/>
      <c r="W18" s="259" t="s">
        <v>41</v>
      </c>
      <c r="X18" s="4" t="s">
        <v>41</v>
      </c>
      <c r="Y18" s="4" t="s">
        <v>41</v>
      </c>
      <c r="Z18" s="10" t="s">
        <v>41</v>
      </c>
      <c r="AA18" s="128"/>
      <c r="AB18" s="15">
        <f t="shared" si="2"/>
        <v>0</v>
      </c>
      <c r="AC18" s="17">
        <f t="shared" si="0"/>
        <v>0</v>
      </c>
      <c r="AD18" s="17">
        <f t="shared" si="1"/>
        <v>0</v>
      </c>
      <c r="AE18" s="17">
        <f t="shared" si="3"/>
        <v>0</v>
      </c>
      <c r="AF18" s="17">
        <f t="shared" si="4"/>
        <v>0</v>
      </c>
      <c r="AG18" s="19" t="str">
        <f t="shared" si="5"/>
        <v>-</v>
      </c>
    </row>
    <row r="19" spans="2:33" x14ac:dyDescent="0.25">
      <c r="B19" s="236" t="s">
        <v>14</v>
      </c>
      <c r="C19" s="9"/>
      <c r="D19" s="159"/>
      <c r="E19" s="159"/>
      <c r="F19" s="10"/>
      <c r="G19" s="121"/>
      <c r="H19" s="9" t="s">
        <v>50</v>
      </c>
      <c r="I19" s="159">
        <v>1</v>
      </c>
      <c r="J19" s="159">
        <v>0</v>
      </c>
      <c r="K19" s="10">
        <v>6.66</v>
      </c>
      <c r="L19" s="128"/>
      <c r="M19" s="23" t="s">
        <v>50</v>
      </c>
      <c r="N19" s="159">
        <v>3</v>
      </c>
      <c r="O19" s="159">
        <v>0</v>
      </c>
      <c r="P19" s="10">
        <v>5.86</v>
      </c>
      <c r="Q19" s="121"/>
      <c r="R19" s="9"/>
      <c r="S19" s="159"/>
      <c r="T19" s="159"/>
      <c r="U19" s="10"/>
      <c r="V19" s="128" t="s">
        <v>76</v>
      </c>
      <c r="W19" s="259" t="s">
        <v>41</v>
      </c>
      <c r="X19" s="4" t="s">
        <v>41</v>
      </c>
      <c r="Y19" s="4" t="s">
        <v>41</v>
      </c>
      <c r="Z19" s="10" t="s">
        <v>41</v>
      </c>
      <c r="AA19" s="128"/>
      <c r="AB19" s="15">
        <f t="shared" si="2"/>
        <v>2</v>
      </c>
      <c r="AC19" s="17">
        <f t="shared" si="0"/>
        <v>4</v>
      </c>
      <c r="AD19" s="17">
        <f t="shared" si="1"/>
        <v>0</v>
      </c>
      <c r="AE19" s="17">
        <f t="shared" si="3"/>
        <v>4</v>
      </c>
      <c r="AF19" s="17">
        <f t="shared" si="4"/>
        <v>1</v>
      </c>
      <c r="AG19" s="19">
        <f t="shared" si="5"/>
        <v>6.26</v>
      </c>
    </row>
    <row r="20" spans="2:33" x14ac:dyDescent="0.25">
      <c r="B20" s="237" t="s">
        <v>86</v>
      </c>
      <c r="C20" s="9"/>
      <c r="D20" s="159"/>
      <c r="E20" s="159"/>
      <c r="F20" s="10"/>
      <c r="G20" s="121"/>
      <c r="H20" s="9"/>
      <c r="I20" s="159"/>
      <c r="J20" s="159"/>
      <c r="K20" s="10"/>
      <c r="L20" s="128"/>
      <c r="M20" s="23"/>
      <c r="N20" s="159"/>
      <c r="O20" s="159"/>
      <c r="P20" s="10"/>
      <c r="Q20" s="121"/>
      <c r="R20" s="9"/>
      <c r="S20" s="159"/>
      <c r="T20" s="159"/>
      <c r="U20" s="10"/>
      <c r="V20" s="128"/>
      <c r="W20" s="259"/>
      <c r="X20" s="4"/>
      <c r="Y20" s="4"/>
      <c r="Z20" s="10"/>
      <c r="AA20" s="128"/>
      <c r="AB20" s="15">
        <f t="shared" si="2"/>
        <v>0</v>
      </c>
      <c r="AC20" s="17">
        <f t="shared" si="0"/>
        <v>0</v>
      </c>
      <c r="AD20" s="17">
        <f t="shared" si="1"/>
        <v>0</v>
      </c>
      <c r="AE20" s="17">
        <f t="shared" si="3"/>
        <v>0</v>
      </c>
      <c r="AF20" s="17">
        <f t="shared" si="4"/>
        <v>0</v>
      </c>
      <c r="AG20" s="19" t="str">
        <f t="shared" si="5"/>
        <v>-</v>
      </c>
    </row>
    <row r="21" spans="2:33" x14ac:dyDescent="0.25">
      <c r="B21" s="236" t="s">
        <v>15</v>
      </c>
      <c r="C21" s="9"/>
      <c r="D21" s="159"/>
      <c r="E21" s="159"/>
      <c r="F21" s="10"/>
      <c r="G21" s="121"/>
      <c r="H21" s="9"/>
      <c r="I21" s="159"/>
      <c r="J21" s="159"/>
      <c r="K21" s="10"/>
      <c r="L21" s="128"/>
      <c r="M21" s="23" t="s">
        <v>50</v>
      </c>
      <c r="N21" s="159">
        <v>1</v>
      </c>
      <c r="O21" s="159">
        <v>1</v>
      </c>
      <c r="P21" s="10">
        <v>6.48</v>
      </c>
      <c r="Q21" s="121" t="s">
        <v>76</v>
      </c>
      <c r="R21" s="9" t="s">
        <v>50</v>
      </c>
      <c r="S21" s="159">
        <v>1</v>
      </c>
      <c r="T21" s="159">
        <v>1</v>
      </c>
      <c r="U21" s="10">
        <v>4.84</v>
      </c>
      <c r="V21" s="128"/>
      <c r="W21" s="259" t="s">
        <v>41</v>
      </c>
      <c r="X21" s="4" t="s">
        <v>41</v>
      </c>
      <c r="Y21" s="4" t="s">
        <v>41</v>
      </c>
      <c r="Z21" s="10" t="s">
        <v>41</v>
      </c>
      <c r="AA21" s="128"/>
      <c r="AB21" s="15">
        <f t="shared" si="2"/>
        <v>2</v>
      </c>
      <c r="AC21" s="17">
        <f t="shared" si="0"/>
        <v>2</v>
      </c>
      <c r="AD21" s="17">
        <f t="shared" si="1"/>
        <v>2</v>
      </c>
      <c r="AE21" s="17">
        <f t="shared" si="3"/>
        <v>4</v>
      </c>
      <c r="AF21" s="17">
        <f t="shared" si="4"/>
        <v>1</v>
      </c>
      <c r="AG21" s="19">
        <f t="shared" si="5"/>
        <v>5.66</v>
      </c>
    </row>
    <row r="22" spans="2:33" x14ac:dyDescent="0.25">
      <c r="B22" s="236" t="s">
        <v>16</v>
      </c>
      <c r="C22" s="9" t="s">
        <v>50</v>
      </c>
      <c r="D22" s="159">
        <v>1</v>
      </c>
      <c r="E22" s="159">
        <v>0</v>
      </c>
      <c r="F22" s="10">
        <v>4.38</v>
      </c>
      <c r="G22" s="121"/>
      <c r="H22" s="9" t="s">
        <v>50</v>
      </c>
      <c r="I22" s="159">
        <v>1</v>
      </c>
      <c r="J22" s="159">
        <v>0</v>
      </c>
      <c r="K22" s="10">
        <v>4.96</v>
      </c>
      <c r="L22" s="128"/>
      <c r="M22" s="23" t="s">
        <v>50</v>
      </c>
      <c r="N22" s="159">
        <v>2</v>
      </c>
      <c r="O22" s="159">
        <v>1</v>
      </c>
      <c r="P22" s="10">
        <v>4.78</v>
      </c>
      <c r="Q22" s="121"/>
      <c r="R22" s="9" t="s">
        <v>50</v>
      </c>
      <c r="S22" s="159">
        <v>1</v>
      </c>
      <c r="T22" s="159">
        <v>2</v>
      </c>
      <c r="U22" s="10">
        <v>4.9400000000000004</v>
      </c>
      <c r="V22" s="128" t="s">
        <v>76</v>
      </c>
      <c r="W22" s="259" t="s">
        <v>41</v>
      </c>
      <c r="X22" s="4" t="s">
        <v>41</v>
      </c>
      <c r="Y22" s="4" t="s">
        <v>41</v>
      </c>
      <c r="Z22" s="10" t="s">
        <v>41</v>
      </c>
      <c r="AA22" s="128"/>
      <c r="AB22" s="15">
        <f t="shared" si="2"/>
        <v>4</v>
      </c>
      <c r="AC22" s="17">
        <f t="shared" si="0"/>
        <v>5</v>
      </c>
      <c r="AD22" s="17">
        <f t="shared" si="1"/>
        <v>3</v>
      </c>
      <c r="AE22" s="17">
        <f t="shared" si="3"/>
        <v>8</v>
      </c>
      <c r="AF22" s="17">
        <f t="shared" si="4"/>
        <v>1</v>
      </c>
      <c r="AG22" s="19">
        <f t="shared" si="5"/>
        <v>4.7650000000000006</v>
      </c>
    </row>
    <row r="23" spans="2:33" x14ac:dyDescent="0.25">
      <c r="B23" s="236" t="s">
        <v>17</v>
      </c>
      <c r="C23" s="9"/>
      <c r="D23" s="159"/>
      <c r="E23" s="159"/>
      <c r="F23" s="10"/>
      <c r="G23" s="121"/>
      <c r="H23" s="9"/>
      <c r="I23" s="159"/>
      <c r="J23" s="159"/>
      <c r="K23" s="10"/>
      <c r="L23" s="128"/>
      <c r="M23" s="23"/>
      <c r="N23" s="159"/>
      <c r="O23" s="159"/>
      <c r="P23" s="10"/>
      <c r="Q23" s="121"/>
      <c r="R23" s="9"/>
      <c r="S23" s="159"/>
      <c r="T23" s="159"/>
      <c r="U23" s="10"/>
      <c r="V23" s="128"/>
      <c r="W23" s="259" t="s">
        <v>41</v>
      </c>
      <c r="X23" s="4" t="s">
        <v>41</v>
      </c>
      <c r="Y23" s="4" t="s">
        <v>41</v>
      </c>
      <c r="Z23" s="10" t="s">
        <v>41</v>
      </c>
      <c r="AA23" s="128"/>
      <c r="AB23" s="15">
        <f t="shared" si="2"/>
        <v>0</v>
      </c>
      <c r="AC23" s="17">
        <f t="shared" si="0"/>
        <v>0</v>
      </c>
      <c r="AD23" s="17">
        <f t="shared" si="1"/>
        <v>0</v>
      </c>
      <c r="AE23" s="17">
        <f t="shared" si="3"/>
        <v>0</v>
      </c>
      <c r="AF23" s="17">
        <f t="shared" si="4"/>
        <v>0</v>
      </c>
      <c r="AG23" s="19" t="str">
        <f t="shared" si="5"/>
        <v>-</v>
      </c>
    </row>
    <row r="24" spans="2:33" x14ac:dyDescent="0.25">
      <c r="B24" s="236" t="s">
        <v>18</v>
      </c>
      <c r="C24" s="9" t="s">
        <v>50</v>
      </c>
      <c r="D24" s="159">
        <v>2</v>
      </c>
      <c r="E24" s="159">
        <v>0</v>
      </c>
      <c r="F24" s="10">
        <v>6.36</v>
      </c>
      <c r="G24" s="121"/>
      <c r="H24" s="9"/>
      <c r="I24" s="159"/>
      <c r="J24" s="159"/>
      <c r="K24" s="10"/>
      <c r="L24" s="128"/>
      <c r="M24" s="23" t="s">
        <v>50</v>
      </c>
      <c r="N24" s="159">
        <v>0</v>
      </c>
      <c r="O24" s="159">
        <v>1</v>
      </c>
      <c r="P24" s="10">
        <v>2.84</v>
      </c>
      <c r="Q24" s="121"/>
      <c r="R24" s="9"/>
      <c r="S24" s="159"/>
      <c r="T24" s="159"/>
      <c r="U24" s="10"/>
      <c r="V24" s="128"/>
      <c r="W24" s="259" t="s">
        <v>41</v>
      </c>
      <c r="X24" s="4" t="s">
        <v>41</v>
      </c>
      <c r="Y24" s="4" t="s">
        <v>41</v>
      </c>
      <c r="Z24" s="10" t="s">
        <v>41</v>
      </c>
      <c r="AA24" s="128"/>
      <c r="AB24" s="15">
        <f t="shared" si="2"/>
        <v>2</v>
      </c>
      <c r="AC24" s="17">
        <f t="shared" si="0"/>
        <v>2</v>
      </c>
      <c r="AD24" s="17">
        <f t="shared" si="1"/>
        <v>1</v>
      </c>
      <c r="AE24" s="17">
        <f t="shared" si="3"/>
        <v>3</v>
      </c>
      <c r="AF24" s="17">
        <f t="shared" si="4"/>
        <v>0</v>
      </c>
      <c r="AG24" s="19">
        <f t="shared" si="5"/>
        <v>4.5999999999999996</v>
      </c>
    </row>
    <row r="25" spans="2:33" x14ac:dyDescent="0.25">
      <c r="B25" s="236" t="s">
        <v>19</v>
      </c>
      <c r="C25" s="9"/>
      <c r="D25" s="159"/>
      <c r="E25" s="159"/>
      <c r="F25" s="10"/>
      <c r="G25" s="121"/>
      <c r="H25" s="9"/>
      <c r="I25" s="159"/>
      <c r="J25" s="159"/>
      <c r="K25" s="10"/>
      <c r="L25" s="128"/>
      <c r="M25" s="23"/>
      <c r="N25" s="159"/>
      <c r="O25" s="159"/>
      <c r="P25" s="10"/>
      <c r="Q25" s="121"/>
      <c r="R25" s="9"/>
      <c r="S25" s="159"/>
      <c r="T25" s="159"/>
      <c r="U25" s="10"/>
      <c r="V25" s="128"/>
      <c r="W25" s="259" t="s">
        <v>41</v>
      </c>
      <c r="X25" s="4" t="s">
        <v>41</v>
      </c>
      <c r="Y25" s="4" t="s">
        <v>41</v>
      </c>
      <c r="Z25" s="10" t="s">
        <v>41</v>
      </c>
      <c r="AA25" s="128"/>
      <c r="AB25" s="15">
        <f t="shared" si="2"/>
        <v>0</v>
      </c>
      <c r="AC25" s="17">
        <f t="shared" si="0"/>
        <v>0</v>
      </c>
      <c r="AD25" s="17">
        <f t="shared" si="1"/>
        <v>0</v>
      </c>
      <c r="AE25" s="17">
        <f t="shared" si="3"/>
        <v>0</v>
      </c>
      <c r="AF25" s="17">
        <f t="shared" si="4"/>
        <v>0</v>
      </c>
      <c r="AG25" s="19" t="str">
        <f t="shared" si="5"/>
        <v>-</v>
      </c>
    </row>
    <row r="26" spans="2:33" x14ac:dyDescent="0.25">
      <c r="B26" s="236" t="s">
        <v>79</v>
      </c>
      <c r="C26" s="9"/>
      <c r="D26" s="159"/>
      <c r="E26" s="159"/>
      <c r="F26" s="10"/>
      <c r="G26" s="121"/>
      <c r="H26" s="9"/>
      <c r="I26" s="159"/>
      <c r="J26" s="159"/>
      <c r="K26" s="10"/>
      <c r="L26" s="128"/>
      <c r="M26" s="23"/>
      <c r="N26" s="159"/>
      <c r="O26" s="159"/>
      <c r="P26" s="10"/>
      <c r="Q26" s="121"/>
      <c r="R26" s="9"/>
      <c r="S26" s="159"/>
      <c r="T26" s="159"/>
      <c r="U26" s="10"/>
      <c r="V26" s="128"/>
      <c r="W26" s="259" t="s">
        <v>41</v>
      </c>
      <c r="X26" s="4" t="s">
        <v>41</v>
      </c>
      <c r="Y26" s="4" t="s">
        <v>41</v>
      </c>
      <c r="Z26" s="10" t="s">
        <v>41</v>
      </c>
      <c r="AA26" s="128"/>
      <c r="AB26" s="15">
        <f t="shared" si="2"/>
        <v>0</v>
      </c>
      <c r="AC26" s="17">
        <f t="shared" si="0"/>
        <v>0</v>
      </c>
      <c r="AD26" s="17">
        <f t="shared" si="1"/>
        <v>0</v>
      </c>
      <c r="AE26" s="17">
        <f t="shared" si="3"/>
        <v>0</v>
      </c>
      <c r="AF26" s="17">
        <f t="shared" si="4"/>
        <v>0</v>
      </c>
      <c r="AG26" s="19" t="str">
        <f t="shared" si="5"/>
        <v>-</v>
      </c>
    </row>
    <row r="27" spans="2:33" x14ac:dyDescent="0.25">
      <c r="B27" s="236" t="s">
        <v>20</v>
      </c>
      <c r="C27" s="9"/>
      <c r="D27" s="159"/>
      <c r="E27" s="159"/>
      <c r="F27" s="10"/>
      <c r="G27" s="121"/>
      <c r="H27" s="9" t="s">
        <v>50</v>
      </c>
      <c r="I27" s="159">
        <v>2</v>
      </c>
      <c r="J27" s="159">
        <v>1</v>
      </c>
      <c r="K27" s="10">
        <v>6.4</v>
      </c>
      <c r="L27" s="128" t="s">
        <v>76</v>
      </c>
      <c r="M27" s="23" t="s">
        <v>50</v>
      </c>
      <c r="N27" s="159">
        <v>0</v>
      </c>
      <c r="O27" s="159">
        <v>0</v>
      </c>
      <c r="P27" s="10">
        <v>4.12</v>
      </c>
      <c r="Q27" s="121"/>
      <c r="R27" s="9"/>
      <c r="S27" s="159"/>
      <c r="T27" s="159"/>
      <c r="U27" s="10"/>
      <c r="V27" s="128"/>
      <c r="W27" s="259" t="s">
        <v>41</v>
      </c>
      <c r="X27" s="4" t="s">
        <v>41</v>
      </c>
      <c r="Y27" s="4" t="s">
        <v>41</v>
      </c>
      <c r="Z27" s="10" t="s">
        <v>41</v>
      </c>
      <c r="AA27" s="128"/>
      <c r="AB27" s="15">
        <f t="shared" si="2"/>
        <v>2</v>
      </c>
      <c r="AC27" s="17">
        <f t="shared" si="0"/>
        <v>2</v>
      </c>
      <c r="AD27" s="17">
        <f t="shared" si="1"/>
        <v>1</v>
      </c>
      <c r="AE27" s="17">
        <f t="shared" si="3"/>
        <v>3</v>
      </c>
      <c r="AF27" s="17">
        <f t="shared" si="4"/>
        <v>1</v>
      </c>
      <c r="AG27" s="19">
        <f t="shared" si="5"/>
        <v>5.26</v>
      </c>
    </row>
    <row r="28" spans="2:33" x14ac:dyDescent="0.25">
      <c r="B28" s="237" t="s">
        <v>82</v>
      </c>
      <c r="C28" s="9"/>
      <c r="D28" s="159"/>
      <c r="E28" s="159"/>
      <c r="F28" s="10"/>
      <c r="G28" s="121"/>
      <c r="H28" s="9"/>
      <c r="I28" s="159"/>
      <c r="J28" s="159"/>
      <c r="K28" s="10"/>
      <c r="L28" s="128"/>
      <c r="M28" s="23"/>
      <c r="N28" s="159"/>
      <c r="O28" s="159"/>
      <c r="P28" s="10"/>
      <c r="Q28" s="121"/>
      <c r="R28" s="9"/>
      <c r="S28" s="159"/>
      <c r="T28" s="159"/>
      <c r="U28" s="10"/>
      <c r="V28" s="128"/>
      <c r="W28" s="259"/>
      <c r="X28" s="4"/>
      <c r="Y28" s="4"/>
      <c r="Z28" s="10"/>
      <c r="AA28" s="128"/>
      <c r="AB28" s="15">
        <f t="shared" si="2"/>
        <v>0</v>
      </c>
      <c r="AC28" s="17">
        <f t="shared" si="0"/>
        <v>0</v>
      </c>
      <c r="AD28" s="17">
        <f t="shared" si="1"/>
        <v>0</v>
      </c>
      <c r="AE28" s="17">
        <f t="shared" si="3"/>
        <v>0</v>
      </c>
      <c r="AF28" s="17">
        <f t="shared" si="4"/>
        <v>0</v>
      </c>
      <c r="AG28" s="19" t="str">
        <f t="shared" si="5"/>
        <v>-</v>
      </c>
    </row>
    <row r="29" spans="2:33" x14ac:dyDescent="0.25">
      <c r="B29" s="236" t="s">
        <v>21</v>
      </c>
      <c r="C29" s="9"/>
      <c r="D29" s="159"/>
      <c r="E29" s="159"/>
      <c r="F29" s="10"/>
      <c r="G29" s="121"/>
      <c r="H29" s="9"/>
      <c r="I29" s="159"/>
      <c r="J29" s="159"/>
      <c r="K29" s="10"/>
      <c r="L29" s="128"/>
      <c r="M29" s="23"/>
      <c r="N29" s="159"/>
      <c r="O29" s="159"/>
      <c r="P29" s="10"/>
      <c r="Q29" s="121"/>
      <c r="R29" s="9" t="s">
        <v>50</v>
      </c>
      <c r="S29" s="159">
        <v>0</v>
      </c>
      <c r="T29" s="159">
        <v>2</v>
      </c>
      <c r="U29" s="10">
        <v>4.0599999999999996</v>
      </c>
      <c r="V29" s="128"/>
      <c r="W29" s="259" t="s">
        <v>41</v>
      </c>
      <c r="X29" s="4" t="s">
        <v>41</v>
      </c>
      <c r="Y29" s="4" t="s">
        <v>41</v>
      </c>
      <c r="Z29" s="10" t="s">
        <v>41</v>
      </c>
      <c r="AA29" s="128"/>
      <c r="AB29" s="15">
        <f t="shared" si="2"/>
        <v>1</v>
      </c>
      <c r="AC29" s="17">
        <f t="shared" si="0"/>
        <v>0</v>
      </c>
      <c r="AD29" s="17">
        <f t="shared" si="1"/>
        <v>2</v>
      </c>
      <c r="AE29" s="17">
        <f t="shared" si="3"/>
        <v>2</v>
      </c>
      <c r="AF29" s="17">
        <f t="shared" si="4"/>
        <v>0</v>
      </c>
      <c r="AG29" s="19">
        <f t="shared" si="5"/>
        <v>4.0599999999999996</v>
      </c>
    </row>
    <row r="30" spans="2:33" x14ac:dyDescent="0.25">
      <c r="B30" s="236" t="s">
        <v>22</v>
      </c>
      <c r="C30" s="9"/>
      <c r="D30" s="159"/>
      <c r="E30" s="159"/>
      <c r="F30" s="10"/>
      <c r="G30" s="121"/>
      <c r="H30" s="9"/>
      <c r="I30" s="159"/>
      <c r="J30" s="159"/>
      <c r="K30" s="10"/>
      <c r="L30" s="128"/>
      <c r="M30" s="23"/>
      <c r="N30" s="159"/>
      <c r="O30" s="159"/>
      <c r="P30" s="10"/>
      <c r="Q30" s="121"/>
      <c r="R30" s="9"/>
      <c r="S30" s="159"/>
      <c r="T30" s="159"/>
      <c r="U30" s="10"/>
      <c r="V30" s="128"/>
      <c r="W30" s="259" t="s">
        <v>41</v>
      </c>
      <c r="X30" s="4" t="s">
        <v>41</v>
      </c>
      <c r="Y30" s="4" t="s">
        <v>41</v>
      </c>
      <c r="Z30" s="10" t="s">
        <v>41</v>
      </c>
      <c r="AA30" s="128"/>
      <c r="AB30" s="15">
        <f t="shared" si="2"/>
        <v>0</v>
      </c>
      <c r="AC30" s="17">
        <f t="shared" si="0"/>
        <v>0</v>
      </c>
      <c r="AD30" s="17">
        <f t="shared" si="1"/>
        <v>0</v>
      </c>
      <c r="AE30" s="17">
        <f t="shared" si="3"/>
        <v>0</v>
      </c>
      <c r="AF30" s="17">
        <f t="shared" si="4"/>
        <v>0</v>
      </c>
      <c r="AG30" s="19" t="str">
        <f t="shared" si="5"/>
        <v>-</v>
      </c>
    </row>
    <row r="31" spans="2:33" x14ac:dyDescent="0.25">
      <c r="B31" s="236" t="s">
        <v>23</v>
      </c>
      <c r="C31" s="9" t="s">
        <v>50</v>
      </c>
      <c r="D31" s="159">
        <v>1</v>
      </c>
      <c r="E31" s="159">
        <v>0</v>
      </c>
      <c r="F31" s="10">
        <v>5.16</v>
      </c>
      <c r="G31" s="121"/>
      <c r="H31" s="9" t="s">
        <v>50</v>
      </c>
      <c r="I31" s="159">
        <v>1</v>
      </c>
      <c r="J31" s="159">
        <v>0</v>
      </c>
      <c r="K31" s="10">
        <v>5.78</v>
      </c>
      <c r="L31" s="128"/>
      <c r="M31" s="23" t="s">
        <v>50</v>
      </c>
      <c r="N31" s="159">
        <v>0</v>
      </c>
      <c r="O31" s="159">
        <v>0</v>
      </c>
      <c r="P31" s="10">
        <v>4.92</v>
      </c>
      <c r="Q31" s="121"/>
      <c r="R31" s="9" t="s">
        <v>50</v>
      </c>
      <c r="S31" s="159">
        <v>1</v>
      </c>
      <c r="T31" s="159">
        <v>0</v>
      </c>
      <c r="U31" s="10">
        <v>4.4800000000000004</v>
      </c>
      <c r="V31" s="128"/>
      <c r="W31" s="259" t="s">
        <v>41</v>
      </c>
      <c r="X31" s="4" t="s">
        <v>41</v>
      </c>
      <c r="Y31" s="4" t="s">
        <v>41</v>
      </c>
      <c r="Z31" s="10" t="s">
        <v>41</v>
      </c>
      <c r="AA31" s="128"/>
      <c r="AB31" s="15">
        <f t="shared" si="2"/>
        <v>4</v>
      </c>
      <c r="AC31" s="17">
        <f t="shared" si="0"/>
        <v>3</v>
      </c>
      <c r="AD31" s="17">
        <f t="shared" si="1"/>
        <v>0</v>
      </c>
      <c r="AE31" s="17">
        <f t="shared" si="3"/>
        <v>3</v>
      </c>
      <c r="AF31" s="17">
        <f t="shared" si="4"/>
        <v>0</v>
      </c>
      <c r="AG31" s="19">
        <f t="shared" si="5"/>
        <v>5.0850000000000009</v>
      </c>
    </row>
    <row r="32" spans="2:33" x14ac:dyDescent="0.25">
      <c r="B32" s="237" t="s">
        <v>84</v>
      </c>
      <c r="C32" s="9"/>
      <c r="D32" s="159"/>
      <c r="E32" s="159"/>
      <c r="F32" s="10"/>
      <c r="G32" s="121"/>
      <c r="H32" s="9"/>
      <c r="I32" s="159"/>
      <c r="J32" s="159"/>
      <c r="K32" s="10"/>
      <c r="L32" s="128"/>
      <c r="M32" s="23"/>
      <c r="N32" s="159"/>
      <c r="O32" s="159"/>
      <c r="P32" s="10"/>
      <c r="Q32" s="121"/>
      <c r="R32" s="9"/>
      <c r="S32" s="159"/>
      <c r="T32" s="159"/>
      <c r="U32" s="10"/>
      <c r="V32" s="128"/>
      <c r="W32" s="259"/>
      <c r="X32" s="4"/>
      <c r="Y32" s="4"/>
      <c r="Z32" s="10"/>
      <c r="AA32" s="128"/>
      <c r="AB32" s="15">
        <f t="shared" si="2"/>
        <v>0</v>
      </c>
      <c r="AC32" s="17">
        <f t="shared" si="0"/>
        <v>0</v>
      </c>
      <c r="AD32" s="17">
        <f t="shared" si="1"/>
        <v>0</v>
      </c>
      <c r="AE32" s="17">
        <f t="shared" si="3"/>
        <v>0</v>
      </c>
      <c r="AF32" s="17">
        <f t="shared" si="4"/>
        <v>0</v>
      </c>
      <c r="AG32" s="19" t="str">
        <f t="shared" si="5"/>
        <v>-</v>
      </c>
    </row>
    <row r="33" spans="2:33" x14ac:dyDescent="0.25">
      <c r="B33" s="236" t="s">
        <v>24</v>
      </c>
      <c r="C33" s="9"/>
      <c r="D33" s="159"/>
      <c r="E33" s="159"/>
      <c r="F33" s="10"/>
      <c r="G33" s="121"/>
      <c r="H33" s="9"/>
      <c r="I33" s="159"/>
      <c r="J33" s="159"/>
      <c r="K33" s="10"/>
      <c r="L33" s="128"/>
      <c r="M33" s="23"/>
      <c r="N33" s="159"/>
      <c r="O33" s="159"/>
      <c r="P33" s="10"/>
      <c r="Q33" s="121"/>
      <c r="R33" s="9"/>
      <c r="S33" s="159"/>
      <c r="T33" s="159"/>
      <c r="U33" s="10"/>
      <c r="V33" s="128"/>
      <c r="W33" s="259" t="s">
        <v>41</v>
      </c>
      <c r="X33" s="4" t="s">
        <v>41</v>
      </c>
      <c r="Y33" s="4" t="s">
        <v>41</v>
      </c>
      <c r="Z33" s="10" t="s">
        <v>41</v>
      </c>
      <c r="AA33" s="128"/>
      <c r="AB33" s="15">
        <f t="shared" si="2"/>
        <v>0</v>
      </c>
      <c r="AC33" s="17">
        <f t="shared" si="0"/>
        <v>0</v>
      </c>
      <c r="AD33" s="17">
        <f t="shared" si="1"/>
        <v>0</v>
      </c>
      <c r="AE33" s="17">
        <f t="shared" si="3"/>
        <v>0</v>
      </c>
      <c r="AF33" s="17">
        <f t="shared" si="4"/>
        <v>0</v>
      </c>
      <c r="AG33" s="19" t="str">
        <f t="shared" si="5"/>
        <v>-</v>
      </c>
    </row>
    <row r="34" spans="2:33" x14ac:dyDescent="0.25">
      <c r="B34" s="236" t="s">
        <v>25</v>
      </c>
      <c r="C34" s="9"/>
      <c r="D34" s="159"/>
      <c r="E34" s="159"/>
      <c r="F34" s="10"/>
      <c r="G34" s="121"/>
      <c r="H34" s="9" t="s">
        <v>50</v>
      </c>
      <c r="I34" s="159">
        <v>0</v>
      </c>
      <c r="J34" s="159">
        <v>0</v>
      </c>
      <c r="K34" s="10">
        <v>5.22</v>
      </c>
      <c r="L34" s="128"/>
      <c r="M34" s="23" t="s">
        <v>50</v>
      </c>
      <c r="N34" s="159">
        <v>0</v>
      </c>
      <c r="O34" s="159">
        <v>0</v>
      </c>
      <c r="P34" s="10">
        <v>5</v>
      </c>
      <c r="Q34" s="121"/>
      <c r="R34" s="9" t="s">
        <v>50</v>
      </c>
      <c r="S34" s="159">
        <v>2</v>
      </c>
      <c r="T34" s="159">
        <v>1</v>
      </c>
      <c r="U34" s="10">
        <v>5.94</v>
      </c>
      <c r="V34" s="128" t="s">
        <v>76</v>
      </c>
      <c r="W34" s="259" t="s">
        <v>41</v>
      </c>
      <c r="X34" s="4" t="s">
        <v>41</v>
      </c>
      <c r="Y34" s="4" t="s">
        <v>41</v>
      </c>
      <c r="Z34" s="10" t="s">
        <v>41</v>
      </c>
      <c r="AA34" s="128"/>
      <c r="AB34" s="15">
        <f t="shared" si="2"/>
        <v>3</v>
      </c>
      <c r="AC34" s="17">
        <f t="shared" si="0"/>
        <v>2</v>
      </c>
      <c r="AD34" s="17">
        <f t="shared" si="1"/>
        <v>1</v>
      </c>
      <c r="AE34" s="17">
        <f t="shared" si="3"/>
        <v>3</v>
      </c>
      <c r="AF34" s="17">
        <f t="shared" si="4"/>
        <v>1</v>
      </c>
      <c r="AG34" s="19">
        <f t="shared" si="5"/>
        <v>5.3866666666666667</v>
      </c>
    </row>
    <row r="35" spans="2:33" x14ac:dyDescent="0.25">
      <c r="B35" s="236" t="s">
        <v>26</v>
      </c>
      <c r="C35" s="9" t="s">
        <v>50</v>
      </c>
      <c r="D35" s="159">
        <v>4</v>
      </c>
      <c r="E35" s="159">
        <v>1</v>
      </c>
      <c r="F35" s="10">
        <v>6.7</v>
      </c>
      <c r="G35" s="121" t="s">
        <v>76</v>
      </c>
      <c r="H35" s="9" t="s">
        <v>50</v>
      </c>
      <c r="I35" s="159">
        <v>1</v>
      </c>
      <c r="J35" s="159">
        <v>0</v>
      </c>
      <c r="K35" s="10">
        <v>5.14</v>
      </c>
      <c r="L35" s="128"/>
      <c r="M35" s="23" t="s">
        <v>50</v>
      </c>
      <c r="N35" s="159">
        <v>1</v>
      </c>
      <c r="O35" s="159">
        <v>1</v>
      </c>
      <c r="P35" s="10">
        <v>3.48</v>
      </c>
      <c r="Q35" s="121"/>
      <c r="R35" s="9" t="s">
        <v>50</v>
      </c>
      <c r="S35" s="159">
        <v>5</v>
      </c>
      <c r="T35" s="159">
        <v>1</v>
      </c>
      <c r="U35" s="10">
        <v>6.78</v>
      </c>
      <c r="V35" s="128"/>
      <c r="W35" s="259" t="s">
        <v>41</v>
      </c>
      <c r="X35" s="4" t="s">
        <v>41</v>
      </c>
      <c r="Y35" s="4" t="s">
        <v>41</v>
      </c>
      <c r="Z35" s="10" t="s">
        <v>41</v>
      </c>
      <c r="AA35" s="128"/>
      <c r="AB35" s="15">
        <f t="shared" si="2"/>
        <v>4</v>
      </c>
      <c r="AC35" s="17">
        <f t="shared" si="0"/>
        <v>11</v>
      </c>
      <c r="AD35" s="17">
        <f t="shared" si="1"/>
        <v>3</v>
      </c>
      <c r="AE35" s="17">
        <f t="shared" si="3"/>
        <v>14</v>
      </c>
      <c r="AF35" s="17">
        <f t="shared" si="4"/>
        <v>1</v>
      </c>
      <c r="AG35" s="19">
        <f t="shared" si="5"/>
        <v>5.5250000000000004</v>
      </c>
    </row>
    <row r="36" spans="2:33" x14ac:dyDescent="0.25">
      <c r="B36" s="236" t="s">
        <v>27</v>
      </c>
      <c r="C36" s="9"/>
      <c r="D36" s="159"/>
      <c r="E36" s="159"/>
      <c r="F36" s="10"/>
      <c r="G36" s="121"/>
      <c r="H36" s="9" t="s">
        <v>50</v>
      </c>
      <c r="I36" s="159">
        <v>2</v>
      </c>
      <c r="J36" s="159">
        <v>1</v>
      </c>
      <c r="K36" s="10">
        <v>8.34</v>
      </c>
      <c r="L36" s="128" t="s">
        <v>76</v>
      </c>
      <c r="M36" s="23" t="s">
        <v>50</v>
      </c>
      <c r="N36" s="159">
        <v>0</v>
      </c>
      <c r="O36" s="159">
        <v>2</v>
      </c>
      <c r="P36" s="10">
        <v>4.7</v>
      </c>
      <c r="Q36" s="121"/>
      <c r="R36" s="9" t="s">
        <v>50</v>
      </c>
      <c r="S36" s="159">
        <v>2</v>
      </c>
      <c r="T36" s="159">
        <v>1</v>
      </c>
      <c r="U36" s="10">
        <v>6.32</v>
      </c>
      <c r="V36" s="128" t="s">
        <v>76</v>
      </c>
      <c r="W36" s="259" t="s">
        <v>41</v>
      </c>
      <c r="X36" s="4" t="s">
        <v>41</v>
      </c>
      <c r="Y36" s="4" t="s">
        <v>41</v>
      </c>
      <c r="Z36" s="10" t="s">
        <v>41</v>
      </c>
      <c r="AA36" s="128"/>
      <c r="AB36" s="15">
        <f t="shared" si="2"/>
        <v>3</v>
      </c>
      <c r="AC36" s="17">
        <f t="shared" si="0"/>
        <v>4</v>
      </c>
      <c r="AD36" s="17">
        <f t="shared" si="1"/>
        <v>4</v>
      </c>
      <c r="AE36" s="17">
        <f t="shared" si="3"/>
        <v>8</v>
      </c>
      <c r="AF36" s="17">
        <f t="shared" si="4"/>
        <v>2</v>
      </c>
      <c r="AG36" s="19">
        <f t="shared" si="5"/>
        <v>6.4533333333333331</v>
      </c>
    </row>
    <row r="37" spans="2:33" x14ac:dyDescent="0.25">
      <c r="B37" s="236" t="s">
        <v>28</v>
      </c>
      <c r="C37" s="9" t="s">
        <v>50</v>
      </c>
      <c r="D37" s="159">
        <v>0</v>
      </c>
      <c r="E37" s="159">
        <v>0</v>
      </c>
      <c r="F37" s="10">
        <v>4.84</v>
      </c>
      <c r="G37" s="121"/>
      <c r="H37" s="9" t="s">
        <v>50</v>
      </c>
      <c r="I37" s="159">
        <v>0</v>
      </c>
      <c r="J37" s="159">
        <v>0</v>
      </c>
      <c r="K37" s="10">
        <v>5.04</v>
      </c>
      <c r="L37" s="128"/>
      <c r="M37" s="23" t="s">
        <v>50</v>
      </c>
      <c r="N37" s="159">
        <v>0</v>
      </c>
      <c r="O37" s="159">
        <v>1</v>
      </c>
      <c r="P37" s="10">
        <v>5.66</v>
      </c>
      <c r="Q37" s="121"/>
      <c r="R37" s="9" t="s">
        <v>50</v>
      </c>
      <c r="S37" s="159">
        <v>0</v>
      </c>
      <c r="T37" s="159">
        <v>0</v>
      </c>
      <c r="U37" s="10">
        <v>4.9400000000000004</v>
      </c>
      <c r="V37" s="128"/>
      <c r="W37" s="259" t="s">
        <v>41</v>
      </c>
      <c r="X37" s="4" t="s">
        <v>41</v>
      </c>
      <c r="Y37" s="4" t="s">
        <v>41</v>
      </c>
      <c r="Z37" s="10" t="s">
        <v>41</v>
      </c>
      <c r="AA37" s="128"/>
      <c r="AB37" s="15">
        <f>COUNTIF(C37:Z37,"P")</f>
        <v>4</v>
      </c>
      <c r="AC37" s="17">
        <f t="shared" si="0"/>
        <v>0</v>
      </c>
      <c r="AD37" s="17">
        <f t="shared" si="1"/>
        <v>1</v>
      </c>
      <c r="AE37" s="17">
        <f t="shared" si="3"/>
        <v>1</v>
      </c>
      <c r="AF37" s="17">
        <f t="shared" si="4"/>
        <v>0</v>
      </c>
      <c r="AG37" s="19">
        <f t="shared" si="5"/>
        <v>5.12</v>
      </c>
    </row>
    <row r="38" spans="2:33" x14ac:dyDescent="0.25">
      <c r="B38" s="236" t="s">
        <v>77</v>
      </c>
      <c r="C38" s="9"/>
      <c r="D38" s="159"/>
      <c r="E38" s="159"/>
      <c r="F38" s="10"/>
      <c r="G38" s="121"/>
      <c r="H38" s="9"/>
      <c r="I38" s="159"/>
      <c r="J38" s="159"/>
      <c r="K38" s="10"/>
      <c r="L38" s="128"/>
      <c r="M38" s="23"/>
      <c r="N38" s="159"/>
      <c r="O38" s="159"/>
      <c r="P38" s="10"/>
      <c r="Q38" s="121"/>
      <c r="R38" s="9"/>
      <c r="S38" s="159"/>
      <c r="T38" s="159"/>
      <c r="U38" s="10"/>
      <c r="V38" s="128"/>
      <c r="W38" s="259" t="s">
        <v>41</v>
      </c>
      <c r="X38" s="4" t="s">
        <v>41</v>
      </c>
      <c r="Y38" s="4" t="s">
        <v>41</v>
      </c>
      <c r="Z38" s="10" t="s">
        <v>41</v>
      </c>
      <c r="AA38" s="128"/>
      <c r="AB38" s="15">
        <f t="shared" si="2"/>
        <v>0</v>
      </c>
      <c r="AC38" s="17">
        <f t="shared" si="0"/>
        <v>0</v>
      </c>
      <c r="AD38" s="17">
        <f t="shared" si="1"/>
        <v>0</v>
      </c>
      <c r="AE38" s="17">
        <f t="shared" si="3"/>
        <v>0</v>
      </c>
      <c r="AF38" s="17">
        <f t="shared" si="4"/>
        <v>0</v>
      </c>
      <c r="AG38" s="19" t="str">
        <f t="shared" si="5"/>
        <v>-</v>
      </c>
    </row>
    <row r="39" spans="2:33" x14ac:dyDescent="0.25">
      <c r="B39" s="236" t="s">
        <v>29</v>
      </c>
      <c r="C39" s="9" t="s">
        <v>50</v>
      </c>
      <c r="D39" s="159">
        <v>0</v>
      </c>
      <c r="E39" s="159">
        <v>0</v>
      </c>
      <c r="F39" s="10">
        <v>5</v>
      </c>
      <c r="G39" s="121"/>
      <c r="H39" s="9"/>
      <c r="I39" s="159"/>
      <c r="J39" s="159"/>
      <c r="K39" s="10"/>
      <c r="L39" s="128"/>
      <c r="M39" s="23"/>
      <c r="N39" s="159"/>
      <c r="O39" s="159"/>
      <c r="P39" s="10"/>
      <c r="Q39" s="121"/>
      <c r="R39" s="9" t="s">
        <v>50</v>
      </c>
      <c r="S39" s="159">
        <v>0</v>
      </c>
      <c r="T39" s="159">
        <v>0</v>
      </c>
      <c r="U39" s="10">
        <v>5.0599999999999996</v>
      </c>
      <c r="V39" s="128" t="s">
        <v>76</v>
      </c>
      <c r="W39" s="259" t="s">
        <v>41</v>
      </c>
      <c r="X39" s="4" t="s">
        <v>41</v>
      </c>
      <c r="Y39" s="4" t="s">
        <v>41</v>
      </c>
      <c r="Z39" s="10" t="s">
        <v>41</v>
      </c>
      <c r="AA39" s="128"/>
      <c r="AB39" s="15">
        <f t="shared" si="2"/>
        <v>2</v>
      </c>
      <c r="AC39" s="17">
        <f t="shared" si="0"/>
        <v>0</v>
      </c>
      <c r="AD39" s="17">
        <f t="shared" si="1"/>
        <v>0</v>
      </c>
      <c r="AE39" s="17">
        <f t="shared" si="3"/>
        <v>0</v>
      </c>
      <c r="AF39" s="17">
        <f t="shared" si="4"/>
        <v>1</v>
      </c>
      <c r="AG39" s="19">
        <f t="shared" si="5"/>
        <v>5.0299999999999994</v>
      </c>
    </row>
    <row r="40" spans="2:33" x14ac:dyDescent="0.25">
      <c r="B40" s="236" t="s">
        <v>30</v>
      </c>
      <c r="C40" s="9" t="s">
        <v>50</v>
      </c>
      <c r="D40" s="159">
        <v>2</v>
      </c>
      <c r="E40" s="159">
        <v>3</v>
      </c>
      <c r="F40" s="10">
        <v>7.08</v>
      </c>
      <c r="G40" s="121"/>
      <c r="H40" s="9" t="s">
        <v>50</v>
      </c>
      <c r="I40" s="159">
        <v>0</v>
      </c>
      <c r="J40" s="159">
        <v>2</v>
      </c>
      <c r="K40" s="10">
        <v>6.3</v>
      </c>
      <c r="L40" s="128"/>
      <c r="M40" s="23" t="s">
        <v>50</v>
      </c>
      <c r="N40" s="159">
        <v>1</v>
      </c>
      <c r="O40" s="159">
        <v>0</v>
      </c>
      <c r="P40" s="10">
        <v>5.92</v>
      </c>
      <c r="Q40" s="121"/>
      <c r="R40" s="9" t="s">
        <v>50</v>
      </c>
      <c r="S40" s="159">
        <v>1</v>
      </c>
      <c r="T40" s="159">
        <v>1</v>
      </c>
      <c r="U40" s="10">
        <v>5</v>
      </c>
      <c r="V40" s="128"/>
      <c r="W40" s="259" t="s">
        <v>41</v>
      </c>
      <c r="X40" s="4" t="s">
        <v>41</v>
      </c>
      <c r="Y40" s="4" t="s">
        <v>41</v>
      </c>
      <c r="Z40" s="10" t="s">
        <v>41</v>
      </c>
      <c r="AA40" s="128"/>
      <c r="AB40" s="15">
        <f t="shared" si="2"/>
        <v>4</v>
      </c>
      <c r="AC40" s="17">
        <f t="shared" si="0"/>
        <v>4</v>
      </c>
      <c r="AD40" s="17">
        <f t="shared" si="1"/>
        <v>6</v>
      </c>
      <c r="AE40" s="17">
        <f t="shared" si="3"/>
        <v>10</v>
      </c>
      <c r="AF40" s="17">
        <f t="shared" si="4"/>
        <v>0</v>
      </c>
      <c r="AG40" s="19">
        <f t="shared" si="5"/>
        <v>6.0749999999999993</v>
      </c>
    </row>
    <row r="41" spans="2:33" x14ac:dyDescent="0.25">
      <c r="B41" s="236" t="s">
        <v>31</v>
      </c>
      <c r="C41" s="9" t="s">
        <v>50</v>
      </c>
      <c r="D41" s="159">
        <v>1</v>
      </c>
      <c r="E41" s="159">
        <v>1</v>
      </c>
      <c r="F41" s="10">
        <v>5.76</v>
      </c>
      <c r="G41" s="121"/>
      <c r="H41" s="9" t="s">
        <v>50</v>
      </c>
      <c r="I41" s="159">
        <v>1</v>
      </c>
      <c r="J41" s="159">
        <v>1</v>
      </c>
      <c r="K41" s="10">
        <v>6.04</v>
      </c>
      <c r="L41" s="128"/>
      <c r="M41" s="23" t="s">
        <v>50</v>
      </c>
      <c r="N41" s="159">
        <v>1</v>
      </c>
      <c r="O41" s="159">
        <v>1</v>
      </c>
      <c r="P41" s="10">
        <v>6.44</v>
      </c>
      <c r="Q41" s="121" t="s">
        <v>76</v>
      </c>
      <c r="R41" s="9" t="s">
        <v>50</v>
      </c>
      <c r="S41" s="159">
        <v>1</v>
      </c>
      <c r="T41" s="159">
        <v>0</v>
      </c>
      <c r="U41" s="10">
        <v>6</v>
      </c>
      <c r="V41" s="128" t="s">
        <v>76</v>
      </c>
      <c r="W41" s="259" t="s">
        <v>41</v>
      </c>
      <c r="X41" s="4" t="s">
        <v>41</v>
      </c>
      <c r="Y41" s="4" t="s">
        <v>41</v>
      </c>
      <c r="Z41" s="10" t="s">
        <v>41</v>
      </c>
      <c r="AA41" s="128"/>
      <c r="AB41" s="15">
        <f t="shared" si="2"/>
        <v>4</v>
      </c>
      <c r="AC41" s="17">
        <f t="shared" si="0"/>
        <v>4</v>
      </c>
      <c r="AD41" s="17">
        <f t="shared" si="1"/>
        <v>3</v>
      </c>
      <c r="AE41" s="17">
        <f t="shared" si="3"/>
        <v>7</v>
      </c>
      <c r="AF41" s="17">
        <f t="shared" si="4"/>
        <v>2</v>
      </c>
      <c r="AG41" s="19">
        <f t="shared" si="5"/>
        <v>6.0600000000000005</v>
      </c>
    </row>
    <row r="42" spans="2:33" x14ac:dyDescent="0.25">
      <c r="B42" s="236" t="s">
        <v>32</v>
      </c>
      <c r="C42" s="9"/>
      <c r="D42" s="159"/>
      <c r="E42" s="159"/>
      <c r="F42" s="10"/>
      <c r="G42" s="121"/>
      <c r="H42" s="9"/>
      <c r="I42" s="159"/>
      <c r="J42" s="159"/>
      <c r="K42" s="10"/>
      <c r="L42" s="128"/>
      <c r="M42" s="23" t="s">
        <v>50</v>
      </c>
      <c r="N42" s="159">
        <v>3</v>
      </c>
      <c r="O42" s="159">
        <v>1</v>
      </c>
      <c r="P42" s="10">
        <v>6</v>
      </c>
      <c r="Q42" s="121"/>
      <c r="R42" s="9" t="s">
        <v>50</v>
      </c>
      <c r="S42" s="159">
        <v>0</v>
      </c>
      <c r="T42" s="159">
        <v>1</v>
      </c>
      <c r="U42" s="10">
        <v>6.26</v>
      </c>
      <c r="V42" s="128"/>
      <c r="W42" s="259" t="s">
        <v>41</v>
      </c>
      <c r="X42" s="4" t="s">
        <v>41</v>
      </c>
      <c r="Y42" s="4" t="s">
        <v>41</v>
      </c>
      <c r="Z42" s="10" t="s">
        <v>41</v>
      </c>
      <c r="AA42" s="128"/>
      <c r="AB42" s="15">
        <f t="shared" si="2"/>
        <v>2</v>
      </c>
      <c r="AC42" s="17">
        <f t="shared" si="0"/>
        <v>3</v>
      </c>
      <c r="AD42" s="17">
        <f t="shared" si="1"/>
        <v>2</v>
      </c>
      <c r="AE42" s="17">
        <f t="shared" si="3"/>
        <v>5</v>
      </c>
      <c r="AF42" s="17">
        <f t="shared" si="4"/>
        <v>0</v>
      </c>
      <c r="AG42" s="19">
        <f t="shared" si="5"/>
        <v>6.13</v>
      </c>
    </row>
    <row r="43" spans="2:33" x14ac:dyDescent="0.25">
      <c r="B43" s="236" t="s">
        <v>33</v>
      </c>
      <c r="C43" s="9"/>
      <c r="D43" s="159"/>
      <c r="E43" s="159"/>
      <c r="F43" s="10"/>
      <c r="G43" s="121"/>
      <c r="H43" s="9" t="s">
        <v>50</v>
      </c>
      <c r="I43" s="159">
        <v>0</v>
      </c>
      <c r="J43" s="159">
        <v>0</v>
      </c>
      <c r="K43" s="10">
        <v>5.18</v>
      </c>
      <c r="L43" s="128" t="s">
        <v>76</v>
      </c>
      <c r="M43" s="23"/>
      <c r="N43" s="159"/>
      <c r="O43" s="159"/>
      <c r="P43" s="10"/>
      <c r="Q43" s="121"/>
      <c r="R43" s="9"/>
      <c r="S43" s="159"/>
      <c r="T43" s="159"/>
      <c r="U43" s="10"/>
      <c r="V43" s="128"/>
      <c r="W43" s="259" t="s">
        <v>41</v>
      </c>
      <c r="X43" s="4" t="s">
        <v>41</v>
      </c>
      <c r="Y43" s="4" t="s">
        <v>41</v>
      </c>
      <c r="Z43" s="10" t="s">
        <v>41</v>
      </c>
      <c r="AA43" s="128"/>
      <c r="AB43" s="15">
        <f t="shared" si="2"/>
        <v>1</v>
      </c>
      <c r="AC43" s="17">
        <f t="shared" si="0"/>
        <v>0</v>
      </c>
      <c r="AD43" s="17">
        <f t="shared" si="1"/>
        <v>0</v>
      </c>
      <c r="AE43" s="17">
        <f t="shared" si="3"/>
        <v>0</v>
      </c>
      <c r="AF43" s="17">
        <f t="shared" si="4"/>
        <v>1</v>
      </c>
      <c r="AG43" s="19">
        <f t="shared" si="5"/>
        <v>5.18</v>
      </c>
    </row>
    <row r="44" spans="2:33" x14ac:dyDescent="0.25">
      <c r="B44" s="236" t="s">
        <v>34</v>
      </c>
      <c r="C44" s="9"/>
      <c r="D44" s="159"/>
      <c r="E44" s="159"/>
      <c r="F44" s="10"/>
      <c r="G44" s="121"/>
      <c r="H44" s="9"/>
      <c r="I44" s="159"/>
      <c r="J44" s="159"/>
      <c r="K44" s="10"/>
      <c r="L44" s="128"/>
      <c r="M44" s="23"/>
      <c r="N44" s="159"/>
      <c r="O44" s="159"/>
      <c r="P44" s="10"/>
      <c r="Q44" s="121"/>
      <c r="R44" s="9"/>
      <c r="S44" s="159"/>
      <c r="T44" s="159"/>
      <c r="U44" s="10"/>
      <c r="V44" s="128"/>
      <c r="W44" s="259" t="s">
        <v>41</v>
      </c>
      <c r="X44" s="4" t="s">
        <v>41</v>
      </c>
      <c r="Y44" s="4" t="s">
        <v>41</v>
      </c>
      <c r="Z44" s="10" t="s">
        <v>41</v>
      </c>
      <c r="AA44" s="128"/>
      <c r="AB44" s="15">
        <f t="shared" si="2"/>
        <v>0</v>
      </c>
      <c r="AC44" s="17">
        <f t="shared" si="0"/>
        <v>0</v>
      </c>
      <c r="AD44" s="17">
        <f t="shared" si="1"/>
        <v>0</v>
      </c>
      <c r="AE44" s="17">
        <f t="shared" si="3"/>
        <v>0</v>
      </c>
      <c r="AF44" s="17">
        <f t="shared" si="4"/>
        <v>0</v>
      </c>
      <c r="AG44" s="19" t="str">
        <f t="shared" si="5"/>
        <v>-</v>
      </c>
    </row>
    <row r="45" spans="2:33" x14ac:dyDescent="0.25">
      <c r="B45" s="236" t="s">
        <v>35</v>
      </c>
      <c r="C45" s="9" t="s">
        <v>50</v>
      </c>
      <c r="D45" s="159">
        <v>0</v>
      </c>
      <c r="E45" s="159">
        <v>0</v>
      </c>
      <c r="F45" s="10">
        <v>4.62</v>
      </c>
      <c r="G45" s="121"/>
      <c r="H45" s="9" t="s">
        <v>50</v>
      </c>
      <c r="I45" s="159">
        <v>0</v>
      </c>
      <c r="J45" s="159">
        <v>0</v>
      </c>
      <c r="K45" s="10">
        <v>4.88</v>
      </c>
      <c r="L45" s="128"/>
      <c r="M45" s="23" t="s">
        <v>50</v>
      </c>
      <c r="N45" s="159">
        <v>0</v>
      </c>
      <c r="O45" s="159">
        <v>1</v>
      </c>
      <c r="P45" s="10">
        <v>5.82</v>
      </c>
      <c r="Q45" s="121"/>
      <c r="R45" s="9"/>
      <c r="S45" s="159"/>
      <c r="T45" s="159"/>
      <c r="U45" s="10"/>
      <c r="V45" s="128"/>
      <c r="W45" s="259" t="s">
        <v>41</v>
      </c>
      <c r="X45" s="4" t="s">
        <v>41</v>
      </c>
      <c r="Y45" s="4" t="s">
        <v>41</v>
      </c>
      <c r="Z45" s="10" t="s">
        <v>41</v>
      </c>
      <c r="AA45" s="128"/>
      <c r="AB45" s="15">
        <f t="shared" si="2"/>
        <v>3</v>
      </c>
      <c r="AC45" s="17">
        <f t="shared" si="0"/>
        <v>0</v>
      </c>
      <c r="AD45" s="17">
        <f t="shared" si="1"/>
        <v>1</v>
      </c>
      <c r="AE45" s="17">
        <f t="shared" si="3"/>
        <v>1</v>
      </c>
      <c r="AF45" s="17">
        <f t="shared" si="4"/>
        <v>0</v>
      </c>
      <c r="AG45" s="19">
        <f t="shared" si="5"/>
        <v>5.1066666666666665</v>
      </c>
    </row>
    <row r="46" spans="2:33" x14ac:dyDescent="0.25">
      <c r="B46" s="236" t="s">
        <v>36</v>
      </c>
      <c r="C46" s="9"/>
      <c r="D46" s="159"/>
      <c r="E46" s="159"/>
      <c r="F46" s="10"/>
      <c r="G46" s="121"/>
      <c r="H46" s="9"/>
      <c r="I46" s="159"/>
      <c r="J46" s="159"/>
      <c r="K46" s="10"/>
      <c r="L46" s="128" t="s">
        <v>76</v>
      </c>
      <c r="M46" s="23" t="s">
        <v>50</v>
      </c>
      <c r="N46" s="159">
        <v>0</v>
      </c>
      <c r="O46" s="159">
        <v>0</v>
      </c>
      <c r="P46" s="10">
        <v>6</v>
      </c>
      <c r="Q46" s="121" t="s">
        <v>76</v>
      </c>
      <c r="R46" s="9" t="s">
        <v>50</v>
      </c>
      <c r="S46" s="159">
        <v>0</v>
      </c>
      <c r="T46" s="159">
        <v>0</v>
      </c>
      <c r="U46" s="10">
        <v>6.58</v>
      </c>
      <c r="V46" s="128"/>
      <c r="W46" s="259" t="s">
        <v>41</v>
      </c>
      <c r="X46" s="4" t="s">
        <v>41</v>
      </c>
      <c r="Y46" s="4" t="s">
        <v>41</v>
      </c>
      <c r="Z46" s="10" t="s">
        <v>41</v>
      </c>
      <c r="AA46" s="128"/>
      <c r="AB46" s="112">
        <f t="shared" si="2"/>
        <v>2</v>
      </c>
      <c r="AC46" s="17">
        <f t="shared" si="0"/>
        <v>0</v>
      </c>
      <c r="AD46" s="65">
        <f t="shared" si="1"/>
        <v>0</v>
      </c>
      <c r="AE46" s="65">
        <f t="shared" si="3"/>
        <v>0</v>
      </c>
      <c r="AF46" s="17">
        <f t="shared" si="4"/>
        <v>2</v>
      </c>
      <c r="AG46" s="69">
        <f t="shared" si="5"/>
        <v>6.29</v>
      </c>
    </row>
    <row r="47" spans="2:33" ht="15.75" thickBot="1" x14ac:dyDescent="0.3">
      <c r="B47" s="236" t="s">
        <v>37</v>
      </c>
      <c r="C47" s="9" t="s">
        <v>50</v>
      </c>
      <c r="D47" s="159">
        <v>0</v>
      </c>
      <c r="E47" s="159">
        <v>1</v>
      </c>
      <c r="F47" s="10">
        <v>6</v>
      </c>
      <c r="G47" s="121" t="s">
        <v>76</v>
      </c>
      <c r="H47" s="9" t="s">
        <v>50</v>
      </c>
      <c r="I47" s="159">
        <v>0</v>
      </c>
      <c r="J47" s="159">
        <v>1</v>
      </c>
      <c r="K47" s="10">
        <v>6.04</v>
      </c>
      <c r="L47" s="128" t="s">
        <v>76</v>
      </c>
      <c r="M47" s="23" t="s">
        <v>50</v>
      </c>
      <c r="N47" s="159">
        <v>1</v>
      </c>
      <c r="O47" s="159">
        <v>1</v>
      </c>
      <c r="P47" s="10">
        <v>7.14</v>
      </c>
      <c r="Q47" s="121" t="s">
        <v>76</v>
      </c>
      <c r="R47" s="9" t="s">
        <v>50</v>
      </c>
      <c r="S47" s="159">
        <v>0</v>
      </c>
      <c r="T47" s="159">
        <v>1</v>
      </c>
      <c r="U47" s="10">
        <v>5.78</v>
      </c>
      <c r="V47" s="128"/>
      <c r="W47" s="259" t="s">
        <v>41</v>
      </c>
      <c r="X47" s="4" t="s">
        <v>41</v>
      </c>
      <c r="Y47" s="4" t="s">
        <v>41</v>
      </c>
      <c r="Z47" s="10" t="s">
        <v>41</v>
      </c>
      <c r="AA47" s="128"/>
      <c r="AB47" s="16">
        <f t="shared" ref="AB47" si="6">COUNTIF(C47:Z47,"P")</f>
        <v>4</v>
      </c>
      <c r="AC47" s="17">
        <f t="shared" si="0"/>
        <v>1</v>
      </c>
      <c r="AD47" s="18">
        <f t="shared" ref="AD47" si="7">SUM(E47,J47,O47,T47,Y47)</f>
        <v>4</v>
      </c>
      <c r="AE47" s="18">
        <f t="shared" ref="AE47" si="8">SUM(AC47+AD47)</f>
        <v>5</v>
      </c>
      <c r="AF47" s="17">
        <f t="shared" si="4"/>
        <v>3</v>
      </c>
      <c r="AG47" s="25">
        <f t="shared" ref="AG47" si="9">IFERROR(AVERAGE(F47,K47,P47,U47,Z47),"-")</f>
        <v>6.24</v>
      </c>
    </row>
    <row r="48" spans="2:33" ht="15.75" thickBot="1" x14ac:dyDescent="0.3">
      <c r="B48" s="237" t="s">
        <v>85</v>
      </c>
      <c r="C48" s="9"/>
      <c r="D48" s="159"/>
      <c r="E48" s="159"/>
      <c r="F48" s="10"/>
      <c r="G48" s="121"/>
      <c r="H48" s="9"/>
      <c r="I48" s="159"/>
      <c r="J48" s="159"/>
      <c r="K48" s="10"/>
      <c r="L48" s="128"/>
      <c r="M48" s="23"/>
      <c r="N48" s="159"/>
      <c r="O48" s="159"/>
      <c r="P48" s="10"/>
      <c r="Q48" s="121"/>
      <c r="R48" s="9"/>
      <c r="S48" s="159"/>
      <c r="T48" s="159"/>
      <c r="U48" s="10"/>
      <c r="V48" s="129"/>
      <c r="W48" s="263"/>
      <c r="X48" s="110"/>
      <c r="Y48" s="110"/>
      <c r="Z48" s="109"/>
      <c r="AA48" s="129"/>
      <c r="AB48" s="16">
        <f t="shared" ref="AB48" si="10">COUNTIF(C48:Z48,"P")</f>
        <v>0</v>
      </c>
      <c r="AC48" s="17">
        <f t="shared" si="0"/>
        <v>0</v>
      </c>
      <c r="AD48" s="18">
        <f t="shared" ref="AD48" si="11">SUM(E48,J48,O48,T48,Y48)</f>
        <v>0</v>
      </c>
      <c r="AE48" s="18">
        <f t="shared" ref="AE48" si="12">SUM(AC48+AD48)</f>
        <v>0</v>
      </c>
      <c r="AF48" s="17">
        <f t="shared" si="4"/>
        <v>0</v>
      </c>
      <c r="AG48" s="25" t="str">
        <f t="shared" ref="AG48" si="13">IFERROR(AVERAGE(F48,K48,P48,U48,Z48),"-")</f>
        <v>-</v>
      </c>
    </row>
    <row r="49" spans="2:33" ht="15.75" thickBot="1" x14ac:dyDescent="0.3">
      <c r="B49" s="236" t="s">
        <v>38</v>
      </c>
      <c r="C49" s="9" t="s">
        <v>50</v>
      </c>
      <c r="D49" s="159">
        <v>0</v>
      </c>
      <c r="E49" s="159">
        <v>0</v>
      </c>
      <c r="F49" s="10">
        <v>5.92</v>
      </c>
      <c r="G49" s="122"/>
      <c r="H49" s="107"/>
      <c r="I49" s="108"/>
      <c r="J49" s="108"/>
      <c r="K49" s="109"/>
      <c r="L49" s="129"/>
      <c r="M49" s="245"/>
      <c r="N49" s="108"/>
      <c r="O49" s="108"/>
      <c r="P49" s="109"/>
      <c r="Q49" s="122"/>
      <c r="R49" s="107"/>
      <c r="S49" s="108"/>
      <c r="T49" s="108"/>
      <c r="U49" s="109"/>
      <c r="V49" s="127"/>
      <c r="W49" s="261" t="s">
        <v>41</v>
      </c>
      <c r="X49" s="14" t="s">
        <v>41</v>
      </c>
      <c r="Y49" s="14" t="s">
        <v>41</v>
      </c>
      <c r="Z49" s="13" t="s">
        <v>41</v>
      </c>
      <c r="AA49" s="127"/>
      <c r="AB49" s="16">
        <f t="shared" ref="AB49" si="14">COUNTIF(C49:Z49,"P")</f>
        <v>1</v>
      </c>
      <c r="AC49" s="17">
        <f t="shared" ref="AC49" si="15">SUM(D49,I49,N49,S49,X49)</f>
        <v>0</v>
      </c>
      <c r="AD49" s="18">
        <f t="shared" ref="AD49" si="16">SUM(E49,J49,O49,T49,Y49)</f>
        <v>0</v>
      </c>
      <c r="AE49" s="18">
        <f t="shared" ref="AE49" si="17">SUM(AC49+AD49)</f>
        <v>0</v>
      </c>
      <c r="AF49" s="17">
        <f t="shared" si="4"/>
        <v>0</v>
      </c>
      <c r="AG49" s="25">
        <f t="shared" ref="AG49" si="18">IFERROR(AVERAGE(F49,K49,P49,U49,Z49),"-")</f>
        <v>5.92</v>
      </c>
    </row>
    <row r="50" spans="2:33" ht="15.75" thickBot="1" x14ac:dyDescent="0.3">
      <c r="B50" s="236" t="s">
        <v>39</v>
      </c>
      <c r="C50" s="11" t="s">
        <v>50</v>
      </c>
      <c r="D50" s="12">
        <v>3</v>
      </c>
      <c r="E50" s="12">
        <v>0</v>
      </c>
      <c r="F50" s="13">
        <v>6.62</v>
      </c>
      <c r="G50" s="123"/>
      <c r="H50" s="11" t="s">
        <v>50</v>
      </c>
      <c r="I50" s="12">
        <v>2</v>
      </c>
      <c r="J50" s="12">
        <v>1</v>
      </c>
      <c r="K50" s="13">
        <v>6.04</v>
      </c>
      <c r="L50" s="127"/>
      <c r="M50" s="24"/>
      <c r="N50" s="12"/>
      <c r="O50" s="12"/>
      <c r="P50" s="13"/>
      <c r="Q50" s="123"/>
      <c r="R50" s="11"/>
      <c r="S50" s="12"/>
      <c r="T50" s="12"/>
      <c r="U50" s="13"/>
      <c r="V50" s="127"/>
      <c r="W50" s="261" t="s">
        <v>41</v>
      </c>
      <c r="X50" s="14" t="s">
        <v>41</v>
      </c>
      <c r="Y50" s="14" t="s">
        <v>41</v>
      </c>
      <c r="Z50" s="13" t="s">
        <v>41</v>
      </c>
      <c r="AA50" s="127"/>
      <c r="AB50" s="16">
        <f t="shared" ref="AB50" si="19">COUNTIF(C50:Z50,"P")</f>
        <v>2</v>
      </c>
      <c r="AC50" s="17">
        <f t="shared" ref="AC50" si="20">SUM(D50,I50,N50,S50,X50)</f>
        <v>5</v>
      </c>
      <c r="AD50" s="18">
        <f t="shared" ref="AD50" si="21">SUM(E50,J50,O50,T50,Y50)</f>
        <v>1</v>
      </c>
      <c r="AE50" s="18">
        <f t="shared" ref="AE50" si="22">SUM(AC50+AD50)</f>
        <v>6</v>
      </c>
      <c r="AF50" s="17">
        <f t="shared" ref="AF50" si="23">COUNTIF(G50:AA50,"F")</f>
        <v>0</v>
      </c>
      <c r="AG50" s="25">
        <f t="shared" ref="AG50" si="24">IFERROR(AVERAGE(F50,K50,P50,U50,Z50),"-")</f>
        <v>6.33</v>
      </c>
    </row>
    <row r="51" spans="2:33" ht="15.75" thickBot="1" x14ac:dyDescent="0.3">
      <c r="B51" s="237" t="s">
        <v>80</v>
      </c>
      <c r="C51" s="11"/>
      <c r="D51" s="12"/>
      <c r="E51" s="12"/>
      <c r="F51" s="13"/>
      <c r="G51" s="123"/>
      <c r="H51" s="11"/>
      <c r="I51" s="12"/>
      <c r="J51" s="12"/>
      <c r="K51" s="13"/>
      <c r="L51" s="127"/>
      <c r="M51" s="24"/>
      <c r="N51" s="12"/>
      <c r="O51" s="12"/>
      <c r="P51" s="13"/>
      <c r="Q51" s="123"/>
      <c r="R51" s="11"/>
      <c r="S51" s="12"/>
      <c r="T51" s="12"/>
      <c r="U51" s="13"/>
      <c r="V51" s="127"/>
      <c r="W51" s="261"/>
      <c r="X51" s="14"/>
      <c r="Y51" s="14"/>
      <c r="Z51" s="13"/>
      <c r="AA51" s="127"/>
      <c r="AB51" s="16">
        <f t="shared" ref="AB51:AB52" si="25">COUNTIF(C51:Z51,"P")</f>
        <v>0</v>
      </c>
      <c r="AC51" s="17">
        <f t="shared" ref="AC51:AC52" si="26">SUM(D51,I51,N51,S51,X51)</f>
        <v>0</v>
      </c>
      <c r="AD51" s="18">
        <f t="shared" ref="AD51:AD52" si="27">SUM(E51,J51,O51,T51,Y51)</f>
        <v>0</v>
      </c>
      <c r="AE51" s="18">
        <f t="shared" ref="AE51:AE52" si="28">SUM(AC51+AD51)</f>
        <v>0</v>
      </c>
      <c r="AF51" s="17">
        <f t="shared" ref="AF51:AF52" si="29">COUNTIF(G51:AA51,"F")</f>
        <v>0</v>
      </c>
      <c r="AG51" s="25" t="str">
        <f t="shared" ref="AG51:AG52" si="30">IFERROR(AVERAGE(F51,K51,P51,U51,Z51),"-")</f>
        <v>-</v>
      </c>
    </row>
    <row r="52" spans="2:33" ht="15.75" thickBot="1" x14ac:dyDescent="0.3">
      <c r="B52" s="238" t="s">
        <v>81</v>
      </c>
      <c r="C52" s="11"/>
      <c r="D52" s="12"/>
      <c r="E52" s="12"/>
      <c r="F52" s="13"/>
      <c r="G52" s="123"/>
      <c r="H52" s="11"/>
      <c r="I52" s="12"/>
      <c r="J52" s="12"/>
      <c r="K52" s="13"/>
      <c r="L52" s="127"/>
      <c r="M52" s="24"/>
      <c r="N52" s="12"/>
      <c r="O52" s="12"/>
      <c r="P52" s="13"/>
      <c r="Q52" s="123"/>
      <c r="R52" s="11"/>
      <c r="S52" s="12"/>
      <c r="T52" s="12"/>
      <c r="U52" s="13"/>
      <c r="V52" s="127"/>
      <c r="W52" s="261"/>
      <c r="X52" s="14"/>
      <c r="Y52" s="14"/>
      <c r="Z52" s="13"/>
      <c r="AA52" s="127"/>
      <c r="AB52" s="16">
        <f t="shared" si="25"/>
        <v>0</v>
      </c>
      <c r="AC52" s="18">
        <f t="shared" si="26"/>
        <v>0</v>
      </c>
      <c r="AD52" s="18">
        <f t="shared" si="27"/>
        <v>0</v>
      </c>
      <c r="AE52" s="18">
        <f t="shared" si="28"/>
        <v>0</v>
      </c>
      <c r="AF52" s="18">
        <f t="shared" si="29"/>
        <v>0</v>
      </c>
      <c r="AG52" s="25" t="str">
        <f t="shared" si="30"/>
        <v>-</v>
      </c>
    </row>
    <row r="53" spans="2:33" x14ac:dyDescent="0.25">
      <c r="B53" s="93"/>
      <c r="C53" s="166"/>
      <c r="D53" s="166"/>
      <c r="E53" s="166"/>
      <c r="F53" s="167"/>
      <c r="G53" s="167"/>
      <c r="H53" s="166"/>
      <c r="I53" s="166"/>
      <c r="J53" s="166"/>
      <c r="K53" s="167"/>
      <c r="L53" s="167"/>
      <c r="M53" s="166"/>
      <c r="N53" s="166"/>
      <c r="O53" s="166"/>
      <c r="P53" s="167"/>
      <c r="Q53" s="167"/>
      <c r="R53" s="166"/>
      <c r="S53" s="166"/>
      <c r="T53" s="166"/>
      <c r="U53" s="167"/>
      <c r="V53" s="167"/>
      <c r="W53" s="167"/>
      <c r="X53" s="167"/>
      <c r="Y53" s="167"/>
      <c r="Z53" s="167"/>
      <c r="AA53" s="167"/>
    </row>
    <row r="54" spans="2:33" x14ac:dyDescent="0.25">
      <c r="B54" s="93"/>
      <c r="C54" s="166"/>
      <c r="D54" s="166"/>
      <c r="E54" s="166"/>
      <c r="F54" s="167"/>
      <c r="G54" s="167"/>
      <c r="H54" s="166"/>
      <c r="I54" s="166"/>
      <c r="J54" s="166"/>
      <c r="K54" s="167"/>
      <c r="L54" s="167"/>
      <c r="M54" s="166"/>
      <c r="N54" s="166"/>
      <c r="O54" s="166"/>
      <c r="P54" s="167"/>
      <c r="Q54" s="167"/>
      <c r="R54" s="166"/>
      <c r="S54" s="166"/>
      <c r="T54" s="166"/>
      <c r="U54" s="167"/>
      <c r="V54" s="167"/>
      <c r="W54" s="167"/>
      <c r="X54" s="167"/>
      <c r="Y54" s="167"/>
      <c r="Z54" s="167"/>
      <c r="AA54" s="167"/>
    </row>
    <row r="55" spans="2:33" x14ac:dyDescent="0.25">
      <c r="B55" s="93"/>
      <c r="C55" s="166"/>
      <c r="D55" s="166"/>
      <c r="E55" s="166"/>
      <c r="F55" s="167"/>
      <c r="G55" s="167"/>
      <c r="H55" s="166"/>
      <c r="I55" s="166"/>
      <c r="J55" s="166"/>
      <c r="K55" s="167"/>
      <c r="L55" s="167"/>
      <c r="M55" s="166"/>
      <c r="N55" s="166"/>
      <c r="O55" s="166"/>
      <c r="P55" s="167"/>
      <c r="Q55" s="167"/>
      <c r="R55" s="166"/>
      <c r="S55" s="166"/>
      <c r="T55" s="166"/>
      <c r="U55" s="167"/>
      <c r="V55" s="167"/>
      <c r="W55" s="167"/>
      <c r="X55" s="167"/>
      <c r="Y55" s="167"/>
      <c r="Z55" s="167"/>
      <c r="AA55" s="167"/>
    </row>
    <row r="56" spans="2:33" x14ac:dyDescent="0.25">
      <c r="B56" s="93"/>
      <c r="C56" s="166"/>
      <c r="D56" s="166"/>
      <c r="E56" s="166"/>
      <c r="F56" s="167"/>
      <c r="G56" s="167"/>
      <c r="H56" s="166"/>
      <c r="I56" s="166"/>
      <c r="J56" s="166"/>
      <c r="K56" s="167"/>
      <c r="L56" s="167"/>
      <c r="M56" s="166"/>
      <c r="N56" s="166"/>
      <c r="O56" s="166"/>
      <c r="P56" s="167"/>
      <c r="Q56" s="167"/>
      <c r="R56" s="166"/>
      <c r="S56" s="166"/>
      <c r="T56" s="166"/>
      <c r="U56" s="167"/>
      <c r="V56" s="167"/>
      <c r="W56" s="167"/>
      <c r="X56" s="167"/>
      <c r="Y56" s="167"/>
      <c r="Z56" s="167"/>
      <c r="AA56" s="167"/>
    </row>
    <row r="57" spans="2:33" x14ac:dyDescent="0.25">
      <c r="B57" s="93"/>
      <c r="C57" s="166"/>
      <c r="D57" s="166"/>
      <c r="E57" s="166"/>
      <c r="F57" s="167"/>
      <c r="G57" s="167"/>
      <c r="H57" s="166"/>
      <c r="I57" s="166"/>
      <c r="J57" s="166"/>
      <c r="K57" s="167"/>
      <c r="L57" s="167"/>
      <c r="M57" s="166"/>
      <c r="N57" s="166"/>
      <c r="O57" s="166"/>
      <c r="P57" s="167"/>
      <c r="Q57" s="167"/>
      <c r="R57" s="166"/>
      <c r="S57" s="166"/>
      <c r="T57" s="166"/>
      <c r="U57" s="167"/>
      <c r="V57" s="167"/>
      <c r="W57" s="167"/>
      <c r="X57" s="167"/>
      <c r="Y57" s="167"/>
      <c r="Z57" s="167"/>
      <c r="AA57" s="167"/>
    </row>
  </sheetData>
  <sortState xmlns:xlrd2="http://schemas.microsoft.com/office/spreadsheetml/2017/richdata2" ref="B5:AA57">
    <sortCondition ref="B5:B57"/>
  </sortState>
  <mergeCells count="12">
    <mergeCell ref="B1:AG2"/>
    <mergeCell ref="AG3:AG4"/>
    <mergeCell ref="B3:B4"/>
    <mergeCell ref="C3:F3"/>
    <mergeCell ref="H3:K3"/>
    <mergeCell ref="M3:P3"/>
    <mergeCell ref="R3:U3"/>
    <mergeCell ref="W3:Z3"/>
    <mergeCell ref="AB3:AB4"/>
    <mergeCell ref="AC3:AC4"/>
    <mergeCell ref="AD3:AD4"/>
    <mergeCell ref="AE3:AE4"/>
  </mergeCells>
  <conditionalFormatting sqref="AB5:AB52">
    <cfRule type="dataBar" priority="10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{AE79AB84-29B0-47F7-81E4-001C81286094}</x14:id>
        </ext>
      </extLst>
    </cfRule>
  </conditionalFormatting>
  <conditionalFormatting sqref="AC3:AC1048576">
    <cfRule type="top10" dxfId="102" priority="8" rank="1"/>
    <cfRule type="top10" dxfId="101" priority="9" rank="5"/>
  </conditionalFormatting>
  <conditionalFormatting sqref="AD3:AF3 AD4 AD5:AF1048576">
    <cfRule type="top10" dxfId="100" priority="5" rank="1"/>
    <cfRule type="top10" dxfId="99" priority="6" rank="5"/>
  </conditionalFormatting>
  <conditionalFormatting sqref="AG3:AG1048576">
    <cfRule type="top10" dxfId="98" priority="3" rank="1"/>
    <cfRule type="top10" dxfId="97" priority="4" rank="5"/>
  </conditionalFormatting>
  <pageMargins left="0.511811024" right="0.511811024" top="0.78740157499999996" bottom="0.78740157499999996" header="0.31496062000000002" footer="0.31496062000000002"/>
  <pageSetup paperSize="9" orientation="portrait" horizontalDpi="4294967292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E79AB84-29B0-47F7-81E4-001C8128609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AB5:AB52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589E-0FFD-47EA-A5FC-D9D057D1D8DF}">
  <sheetPr codeName="Planilha6"/>
  <dimension ref="A1:AG57"/>
  <sheetViews>
    <sheetView showGridLines="0" topLeftCell="M1" zoomScale="80" zoomScaleNormal="80" workbookViewId="0">
      <pane ySplit="4" topLeftCell="A5" activePane="bottomLeft" state="frozen"/>
      <selection activeCell="B47" sqref="B47"/>
      <selection pane="bottomLeft" activeCell="B47" sqref="B47"/>
    </sheetView>
  </sheetViews>
  <sheetFormatPr defaultRowHeight="15" x14ac:dyDescent="0.25"/>
  <cols>
    <col min="1" max="1" width="7.140625" customWidth="1"/>
    <col min="2" max="2" width="28.42578125" style="6" customWidth="1"/>
    <col min="3" max="3" width="9.140625" customWidth="1"/>
    <col min="6" max="7" width="9.140625" style="5"/>
    <col min="11" max="12" width="9.140625" style="5"/>
    <col min="16" max="17" width="9.140625" style="5"/>
    <col min="21" max="23" width="9.140625" style="5"/>
    <col min="24" max="25" width="9.140625" style="2"/>
    <col min="26" max="27" width="9.140625" style="5"/>
    <col min="28" max="28" width="14.7109375" customWidth="1"/>
    <col min="29" max="29" width="14.5703125" style="2" customWidth="1"/>
    <col min="30" max="30" width="13.85546875" style="2" customWidth="1"/>
    <col min="31" max="32" width="5.42578125" style="2" customWidth="1"/>
    <col min="33" max="33" width="13.5703125" style="5" customWidth="1"/>
  </cols>
  <sheetData>
    <row r="1" spans="1:33" ht="15" customHeight="1" x14ac:dyDescent="0.25">
      <c r="B1" s="271" t="s">
        <v>42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</row>
    <row r="2" spans="1:33" ht="15" customHeight="1" thickBot="1" x14ac:dyDescent="0.3">
      <c r="A2" s="1"/>
      <c r="B2" s="274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75"/>
      <c r="AC2" s="275"/>
      <c r="AD2" s="275"/>
      <c r="AE2" s="275"/>
      <c r="AF2" s="275"/>
      <c r="AG2" s="275"/>
    </row>
    <row r="3" spans="1:33" x14ac:dyDescent="0.25">
      <c r="B3" s="279" t="s">
        <v>0</v>
      </c>
      <c r="C3" s="285">
        <v>45748</v>
      </c>
      <c r="D3" s="286"/>
      <c r="E3" s="286"/>
      <c r="F3" s="307"/>
      <c r="G3" s="118"/>
      <c r="H3" s="287">
        <f>C3+7</f>
        <v>45755</v>
      </c>
      <c r="I3" s="288"/>
      <c r="J3" s="288"/>
      <c r="K3" s="289"/>
      <c r="L3" s="162"/>
      <c r="M3" s="290">
        <f>H3+7</f>
        <v>45762</v>
      </c>
      <c r="N3" s="290"/>
      <c r="O3" s="290"/>
      <c r="P3" s="308"/>
      <c r="Q3" s="119"/>
      <c r="R3" s="291">
        <f>M3+7</f>
        <v>45769</v>
      </c>
      <c r="S3" s="292"/>
      <c r="T3" s="292"/>
      <c r="U3" s="293"/>
      <c r="V3" s="163"/>
      <c r="W3" s="294">
        <f>R3+7</f>
        <v>45776</v>
      </c>
      <c r="X3" s="294"/>
      <c r="Y3" s="294"/>
      <c r="Z3" s="295"/>
      <c r="AA3" s="124"/>
      <c r="AB3" s="279" t="s">
        <v>45</v>
      </c>
      <c r="AC3" s="281" t="s">
        <v>46</v>
      </c>
      <c r="AD3" s="281" t="s">
        <v>47</v>
      </c>
      <c r="AE3" s="281" t="s">
        <v>72</v>
      </c>
      <c r="AF3" s="160"/>
      <c r="AG3" s="299" t="s">
        <v>48</v>
      </c>
    </row>
    <row r="4" spans="1:33" ht="15.75" thickBot="1" x14ac:dyDescent="0.3">
      <c r="B4" s="280"/>
      <c r="C4" s="191" t="s">
        <v>49</v>
      </c>
      <c r="D4" s="192" t="s">
        <v>43</v>
      </c>
      <c r="E4" s="192" t="s">
        <v>2</v>
      </c>
      <c r="F4" s="194" t="s">
        <v>40</v>
      </c>
      <c r="G4" s="209"/>
      <c r="H4" s="195" t="s">
        <v>49</v>
      </c>
      <c r="I4" s="196" t="s">
        <v>43</v>
      </c>
      <c r="J4" s="196" t="s">
        <v>2</v>
      </c>
      <c r="K4" s="198" t="s">
        <v>40</v>
      </c>
      <c r="L4" s="248"/>
      <c r="M4" s="214" t="s">
        <v>49</v>
      </c>
      <c r="N4" s="199" t="s">
        <v>44</v>
      </c>
      <c r="O4" s="199" t="s">
        <v>2</v>
      </c>
      <c r="P4" s="201" t="s">
        <v>40</v>
      </c>
      <c r="Q4" s="210"/>
      <c r="R4" s="202" t="s">
        <v>49</v>
      </c>
      <c r="S4" s="203" t="s">
        <v>43</v>
      </c>
      <c r="T4" s="203" t="s">
        <v>2</v>
      </c>
      <c r="U4" s="205" t="s">
        <v>40</v>
      </c>
      <c r="V4" s="264"/>
      <c r="W4" s="262" t="s">
        <v>49</v>
      </c>
      <c r="X4" s="216" t="s">
        <v>43</v>
      </c>
      <c r="Y4" s="216" t="s">
        <v>2</v>
      </c>
      <c r="Z4" s="212" t="s">
        <v>40</v>
      </c>
      <c r="AA4" s="213"/>
      <c r="AB4" s="280"/>
      <c r="AC4" s="282"/>
      <c r="AD4" s="282"/>
      <c r="AE4" s="282"/>
      <c r="AF4" s="161"/>
      <c r="AG4" s="309"/>
    </row>
    <row r="5" spans="1:33" x14ac:dyDescent="0.25">
      <c r="B5" s="236" t="s">
        <v>3</v>
      </c>
      <c r="C5" s="165" t="s">
        <v>50</v>
      </c>
      <c r="D5" s="186">
        <v>0</v>
      </c>
      <c r="E5" s="186">
        <v>0</v>
      </c>
      <c r="F5" s="188">
        <v>6.18</v>
      </c>
      <c r="G5" s="233"/>
      <c r="H5" s="165" t="s">
        <v>50</v>
      </c>
      <c r="I5" s="186">
        <v>4</v>
      </c>
      <c r="J5" s="186">
        <v>0</v>
      </c>
      <c r="K5" s="188">
        <v>5.92</v>
      </c>
      <c r="L5" s="234"/>
      <c r="M5" s="235"/>
      <c r="N5" s="186"/>
      <c r="O5" s="186"/>
      <c r="P5" s="188"/>
      <c r="Q5" s="233"/>
      <c r="R5" s="165"/>
      <c r="S5" s="186"/>
      <c r="T5" s="186"/>
      <c r="U5" s="188"/>
      <c r="V5" s="234"/>
      <c r="W5" s="260" t="s">
        <v>50</v>
      </c>
      <c r="X5" s="187">
        <v>4</v>
      </c>
      <c r="Y5" s="187">
        <v>2</v>
      </c>
      <c r="Z5" s="188">
        <v>6.66</v>
      </c>
      <c r="AA5" s="234" t="s">
        <v>76</v>
      </c>
      <c r="AB5" s="26">
        <f>COUNTIF(C5:Z5,"P")</f>
        <v>3</v>
      </c>
      <c r="AC5" s="27">
        <f>SUM(D5,I5,N5,S5,X5)</f>
        <v>8</v>
      </c>
      <c r="AD5" s="27">
        <f t="shared" ref="AD5:AD46" si="0">SUM(E5,J5,O5,T5,Y5)</f>
        <v>2</v>
      </c>
      <c r="AE5" s="27">
        <f>SUM(AC5+AD5)</f>
        <v>10</v>
      </c>
      <c r="AF5" s="27">
        <f>COUNTIF(G5:AA5,"F")</f>
        <v>1</v>
      </c>
      <c r="AG5" s="28">
        <f>IFERROR(AVERAGE(F5,K5,P5,U5,Z5),"-")</f>
        <v>6.253333333333333</v>
      </c>
    </row>
    <row r="6" spans="1:33" x14ac:dyDescent="0.25">
      <c r="B6" s="236" t="s">
        <v>4</v>
      </c>
      <c r="C6" s="9" t="s">
        <v>50</v>
      </c>
      <c r="D6" s="159">
        <v>0</v>
      </c>
      <c r="E6" s="159">
        <v>0</v>
      </c>
      <c r="F6" s="10">
        <v>5.42</v>
      </c>
      <c r="G6" s="121" t="s">
        <v>76</v>
      </c>
      <c r="H6" s="9"/>
      <c r="I6" s="159"/>
      <c r="J6" s="159"/>
      <c r="K6" s="10"/>
      <c r="L6" s="128"/>
      <c r="M6" s="23"/>
      <c r="N6" s="159"/>
      <c r="O6" s="159"/>
      <c r="P6" s="10"/>
      <c r="Q6" s="121"/>
      <c r="R6" s="9"/>
      <c r="S6" s="159"/>
      <c r="T6" s="159"/>
      <c r="U6" s="10"/>
      <c r="V6" s="128"/>
      <c r="W6" s="259"/>
      <c r="X6" s="3"/>
      <c r="Y6" s="3"/>
      <c r="Z6" s="10"/>
      <c r="AA6" s="128"/>
      <c r="AB6" s="15">
        <f t="shared" ref="AB6:AB46" si="1">COUNTIF(C6:Z6,"P")</f>
        <v>1</v>
      </c>
      <c r="AC6" s="27">
        <f t="shared" ref="AC6:AC48" si="2">SUM(D6,I6,N6,S6,X6)</f>
        <v>0</v>
      </c>
      <c r="AD6" s="17">
        <f t="shared" si="0"/>
        <v>0</v>
      </c>
      <c r="AE6" s="27">
        <f t="shared" ref="AE6:AE46" si="3">SUM(AC6+AD6)</f>
        <v>0</v>
      </c>
      <c r="AF6" s="27">
        <f t="shared" ref="AF6:AF49" si="4">COUNTIF(G6:AA6,"F")</f>
        <v>1</v>
      </c>
      <c r="AG6" s="19">
        <f t="shared" ref="AG6:AG46" si="5">IFERROR(AVERAGE(F6,K6,P6,U6,Z6),"-")</f>
        <v>5.42</v>
      </c>
    </row>
    <row r="7" spans="1:33" x14ac:dyDescent="0.25">
      <c r="B7" s="236" t="s">
        <v>5</v>
      </c>
      <c r="C7" s="9"/>
      <c r="D7" s="159"/>
      <c r="E7" s="159"/>
      <c r="F7" s="10"/>
      <c r="G7" s="121"/>
      <c r="H7" s="9"/>
      <c r="I7" s="159"/>
      <c r="J7" s="159"/>
      <c r="K7" s="10"/>
      <c r="L7" s="128"/>
      <c r="M7" s="23"/>
      <c r="N7" s="159"/>
      <c r="O7" s="159"/>
      <c r="P7" s="10"/>
      <c r="Q7" s="121"/>
      <c r="R7" s="9"/>
      <c r="S7" s="159"/>
      <c r="T7" s="159"/>
      <c r="U7" s="10"/>
      <c r="V7" s="128"/>
      <c r="W7" s="259"/>
      <c r="X7" s="3"/>
      <c r="Y7" s="3"/>
      <c r="Z7" s="10"/>
      <c r="AA7" s="128"/>
      <c r="AB7" s="15">
        <f t="shared" si="1"/>
        <v>0</v>
      </c>
      <c r="AC7" s="27">
        <f t="shared" si="2"/>
        <v>0</v>
      </c>
      <c r="AD7" s="17">
        <f t="shared" si="0"/>
        <v>0</v>
      </c>
      <c r="AE7" s="27">
        <f t="shared" si="3"/>
        <v>0</v>
      </c>
      <c r="AF7" s="27">
        <f t="shared" si="4"/>
        <v>0</v>
      </c>
      <c r="AG7" s="19" t="str">
        <f t="shared" si="5"/>
        <v>-</v>
      </c>
    </row>
    <row r="8" spans="1:33" x14ac:dyDescent="0.25">
      <c r="B8" s="236" t="s">
        <v>74</v>
      </c>
      <c r="C8" s="9" t="s">
        <v>50</v>
      </c>
      <c r="D8" s="159">
        <v>0</v>
      </c>
      <c r="E8" s="159">
        <v>0</v>
      </c>
      <c r="F8" s="10">
        <v>4.84</v>
      </c>
      <c r="G8" s="121"/>
      <c r="H8" s="9"/>
      <c r="I8" s="159"/>
      <c r="J8" s="159"/>
      <c r="K8" s="10"/>
      <c r="L8" s="128"/>
      <c r="M8" s="23"/>
      <c r="N8" s="159"/>
      <c r="O8" s="159"/>
      <c r="P8" s="10"/>
      <c r="Q8" s="121"/>
      <c r="R8" s="9"/>
      <c r="S8" s="159"/>
      <c r="T8" s="159"/>
      <c r="U8" s="10"/>
      <c r="V8" s="128"/>
      <c r="W8" s="259"/>
      <c r="X8" s="3"/>
      <c r="Y8" s="3"/>
      <c r="Z8" s="10"/>
      <c r="AA8" s="128"/>
      <c r="AB8" s="15">
        <f t="shared" si="1"/>
        <v>1</v>
      </c>
      <c r="AC8" s="27">
        <f t="shared" si="2"/>
        <v>0</v>
      </c>
      <c r="AD8" s="17">
        <f t="shared" si="0"/>
        <v>0</v>
      </c>
      <c r="AE8" s="27">
        <f t="shared" si="3"/>
        <v>0</v>
      </c>
      <c r="AF8" s="27">
        <f t="shared" si="4"/>
        <v>0</v>
      </c>
      <c r="AG8" s="19">
        <f t="shared" si="5"/>
        <v>4.84</v>
      </c>
    </row>
    <row r="9" spans="1:33" x14ac:dyDescent="0.25">
      <c r="B9" s="236" t="s">
        <v>6</v>
      </c>
      <c r="C9" s="9"/>
      <c r="D9" s="159"/>
      <c r="E9" s="159"/>
      <c r="F9" s="10"/>
      <c r="G9" s="121"/>
      <c r="H9" s="9" t="s">
        <v>50</v>
      </c>
      <c r="I9" s="159">
        <v>2</v>
      </c>
      <c r="J9" s="159">
        <v>1</v>
      </c>
      <c r="K9" s="10">
        <v>5.64</v>
      </c>
      <c r="L9" s="128"/>
      <c r="M9" s="23" t="s">
        <v>50</v>
      </c>
      <c r="N9" s="159">
        <v>3</v>
      </c>
      <c r="O9" s="159">
        <v>4</v>
      </c>
      <c r="P9" s="10">
        <v>6.06</v>
      </c>
      <c r="Q9" s="121"/>
      <c r="R9" s="9"/>
      <c r="S9" s="159"/>
      <c r="T9" s="159"/>
      <c r="U9" s="10"/>
      <c r="V9" s="128"/>
      <c r="W9" s="259"/>
      <c r="X9" s="3"/>
      <c r="Y9" s="3"/>
      <c r="Z9" s="10"/>
      <c r="AA9" s="128"/>
      <c r="AB9" s="15">
        <f t="shared" si="1"/>
        <v>2</v>
      </c>
      <c r="AC9" s="27">
        <f t="shared" si="2"/>
        <v>5</v>
      </c>
      <c r="AD9" s="17">
        <f t="shared" si="0"/>
        <v>5</v>
      </c>
      <c r="AE9" s="27">
        <f t="shared" si="3"/>
        <v>10</v>
      </c>
      <c r="AF9" s="27">
        <f t="shared" si="4"/>
        <v>0</v>
      </c>
      <c r="AG9" s="19">
        <f t="shared" si="5"/>
        <v>5.85</v>
      </c>
    </row>
    <row r="10" spans="1:33" x14ac:dyDescent="0.25">
      <c r="B10" s="236" t="s">
        <v>7</v>
      </c>
      <c r="C10" s="9"/>
      <c r="D10" s="159"/>
      <c r="E10" s="159"/>
      <c r="F10" s="10"/>
      <c r="G10" s="121"/>
      <c r="H10" s="9" t="s">
        <v>50</v>
      </c>
      <c r="I10" s="159">
        <v>0</v>
      </c>
      <c r="J10" s="159">
        <v>0</v>
      </c>
      <c r="K10" s="10">
        <v>6.4</v>
      </c>
      <c r="L10" s="128" t="s">
        <v>76</v>
      </c>
      <c r="M10" s="23"/>
      <c r="N10" s="159"/>
      <c r="O10" s="159"/>
      <c r="P10" s="10"/>
      <c r="Q10" s="121"/>
      <c r="R10" s="9" t="s">
        <v>50</v>
      </c>
      <c r="S10" s="159">
        <v>0</v>
      </c>
      <c r="T10" s="159">
        <v>0</v>
      </c>
      <c r="U10" s="10">
        <v>8.2799999999999994</v>
      </c>
      <c r="V10" s="128" t="s">
        <v>76</v>
      </c>
      <c r="W10" s="259" t="s">
        <v>50</v>
      </c>
      <c r="X10" s="3">
        <v>0</v>
      </c>
      <c r="Y10" s="3">
        <v>0</v>
      </c>
      <c r="Z10" s="10">
        <v>8.06</v>
      </c>
      <c r="AA10" s="128" t="s">
        <v>76</v>
      </c>
      <c r="AB10" s="15">
        <f t="shared" si="1"/>
        <v>3</v>
      </c>
      <c r="AC10" s="27">
        <f t="shared" si="2"/>
        <v>0</v>
      </c>
      <c r="AD10" s="17">
        <f t="shared" si="0"/>
        <v>0</v>
      </c>
      <c r="AE10" s="27">
        <f t="shared" si="3"/>
        <v>0</v>
      </c>
      <c r="AF10" s="27">
        <f t="shared" si="4"/>
        <v>3</v>
      </c>
      <c r="AG10" s="19">
        <f t="shared" si="5"/>
        <v>7.580000000000001</v>
      </c>
    </row>
    <row r="11" spans="1:33" x14ac:dyDescent="0.25">
      <c r="B11" s="236" t="s">
        <v>8</v>
      </c>
      <c r="C11" s="9"/>
      <c r="D11" s="159"/>
      <c r="E11" s="159"/>
      <c r="F11" s="10"/>
      <c r="G11" s="121"/>
      <c r="H11" s="9"/>
      <c r="I11" s="159"/>
      <c r="J11" s="159"/>
      <c r="K11" s="10"/>
      <c r="L11" s="128"/>
      <c r="M11" s="23"/>
      <c r="N11" s="159"/>
      <c r="O11" s="159"/>
      <c r="P11" s="10"/>
      <c r="Q11" s="121"/>
      <c r="R11" s="9"/>
      <c r="S11" s="159"/>
      <c r="T11" s="159"/>
      <c r="U11" s="10"/>
      <c r="V11" s="128"/>
      <c r="W11" s="259"/>
      <c r="X11" s="3"/>
      <c r="Y11" s="3"/>
      <c r="Z11" s="10"/>
      <c r="AA11" s="128"/>
      <c r="AB11" s="15">
        <f t="shared" si="1"/>
        <v>0</v>
      </c>
      <c r="AC11" s="27">
        <f t="shared" si="2"/>
        <v>0</v>
      </c>
      <c r="AD11" s="17">
        <f t="shared" si="0"/>
        <v>0</v>
      </c>
      <c r="AE11" s="27">
        <f t="shared" si="3"/>
        <v>0</v>
      </c>
      <c r="AF11" s="27">
        <f t="shared" si="4"/>
        <v>0</v>
      </c>
      <c r="AG11" s="19" t="str">
        <f t="shared" si="5"/>
        <v>-</v>
      </c>
    </row>
    <row r="12" spans="1:33" x14ac:dyDescent="0.25">
      <c r="B12" s="236" t="s">
        <v>9</v>
      </c>
      <c r="C12" s="9" t="s">
        <v>50</v>
      </c>
      <c r="D12" s="159">
        <v>1</v>
      </c>
      <c r="E12" s="159">
        <v>3</v>
      </c>
      <c r="F12" s="10">
        <v>6.76</v>
      </c>
      <c r="G12" s="121"/>
      <c r="H12" s="9" t="s">
        <v>50</v>
      </c>
      <c r="I12" s="159">
        <v>3</v>
      </c>
      <c r="J12" s="159">
        <v>0</v>
      </c>
      <c r="K12" s="10">
        <v>6.92</v>
      </c>
      <c r="L12" s="128"/>
      <c r="M12" s="23" t="s">
        <v>50</v>
      </c>
      <c r="N12" s="159">
        <v>2</v>
      </c>
      <c r="O12" s="159">
        <v>2</v>
      </c>
      <c r="P12" s="10">
        <v>7.12</v>
      </c>
      <c r="Q12" s="121"/>
      <c r="R12" s="9" t="s">
        <v>50</v>
      </c>
      <c r="S12" s="159">
        <v>4</v>
      </c>
      <c r="T12" s="159">
        <v>0</v>
      </c>
      <c r="U12" s="10">
        <v>7.72</v>
      </c>
      <c r="V12" s="128" t="s">
        <v>76</v>
      </c>
      <c r="W12" s="259"/>
      <c r="X12" s="3"/>
      <c r="Y12" s="3"/>
      <c r="Z12" s="10"/>
      <c r="AA12" s="128"/>
      <c r="AB12" s="15">
        <f t="shared" si="1"/>
        <v>4</v>
      </c>
      <c r="AC12" s="27">
        <f t="shared" si="2"/>
        <v>10</v>
      </c>
      <c r="AD12" s="17">
        <f t="shared" si="0"/>
        <v>5</v>
      </c>
      <c r="AE12" s="27">
        <f t="shared" si="3"/>
        <v>15</v>
      </c>
      <c r="AF12" s="27">
        <f t="shared" si="4"/>
        <v>1</v>
      </c>
      <c r="AG12" s="19">
        <f t="shared" si="5"/>
        <v>7.13</v>
      </c>
    </row>
    <row r="13" spans="1:33" x14ac:dyDescent="0.25">
      <c r="B13" s="236" t="s">
        <v>10</v>
      </c>
      <c r="C13" s="9" t="s">
        <v>50</v>
      </c>
      <c r="D13" s="159">
        <v>3</v>
      </c>
      <c r="E13" s="159">
        <v>1</v>
      </c>
      <c r="F13" s="10">
        <v>5.48</v>
      </c>
      <c r="G13" s="121"/>
      <c r="H13" s="9" t="s">
        <v>50</v>
      </c>
      <c r="I13" s="159">
        <v>2</v>
      </c>
      <c r="J13" s="159">
        <v>2</v>
      </c>
      <c r="K13" s="10">
        <v>6.22</v>
      </c>
      <c r="L13" s="128" t="s">
        <v>76</v>
      </c>
      <c r="M13" s="23" t="s">
        <v>50</v>
      </c>
      <c r="N13" s="159">
        <v>1</v>
      </c>
      <c r="O13" s="159">
        <v>0</v>
      </c>
      <c r="P13" s="10">
        <v>4.8</v>
      </c>
      <c r="Q13" s="121"/>
      <c r="R13" s="9" t="s">
        <v>50</v>
      </c>
      <c r="S13" s="159">
        <v>3</v>
      </c>
      <c r="T13" s="159">
        <v>1</v>
      </c>
      <c r="U13" s="10">
        <v>6.64</v>
      </c>
      <c r="V13" s="128" t="s">
        <v>76</v>
      </c>
      <c r="W13" s="259" t="s">
        <v>50</v>
      </c>
      <c r="X13" s="3">
        <v>1</v>
      </c>
      <c r="Y13" s="3">
        <v>1</v>
      </c>
      <c r="Z13" s="10">
        <v>5.94</v>
      </c>
      <c r="AA13" s="128" t="s">
        <v>76</v>
      </c>
      <c r="AB13" s="15">
        <f t="shared" si="1"/>
        <v>5</v>
      </c>
      <c r="AC13" s="27">
        <f t="shared" si="2"/>
        <v>10</v>
      </c>
      <c r="AD13" s="17">
        <f t="shared" si="0"/>
        <v>5</v>
      </c>
      <c r="AE13" s="27">
        <f t="shared" si="3"/>
        <v>15</v>
      </c>
      <c r="AF13" s="27">
        <f t="shared" si="4"/>
        <v>3</v>
      </c>
      <c r="AG13" s="19">
        <f t="shared" si="5"/>
        <v>5.8160000000000007</v>
      </c>
    </row>
    <row r="14" spans="1:33" x14ac:dyDescent="0.25">
      <c r="B14" s="236" t="s">
        <v>11</v>
      </c>
      <c r="C14" s="9"/>
      <c r="D14" s="159"/>
      <c r="E14" s="159"/>
      <c r="F14" s="10"/>
      <c r="G14" s="121"/>
      <c r="H14" s="9"/>
      <c r="I14" s="159"/>
      <c r="J14" s="159"/>
      <c r="K14" s="10"/>
      <c r="L14" s="128"/>
      <c r="M14" s="23"/>
      <c r="N14" s="159"/>
      <c r="O14" s="159"/>
      <c r="P14" s="10"/>
      <c r="Q14" s="121"/>
      <c r="R14" s="9" t="s">
        <v>50</v>
      </c>
      <c r="S14" s="159">
        <v>0</v>
      </c>
      <c r="T14" s="159">
        <v>0</v>
      </c>
      <c r="U14" s="10">
        <v>5.64</v>
      </c>
      <c r="V14" s="128"/>
      <c r="W14" s="259" t="s">
        <v>50</v>
      </c>
      <c r="X14" s="3">
        <v>0</v>
      </c>
      <c r="Y14" s="3">
        <v>1</v>
      </c>
      <c r="Z14" s="10">
        <v>5.54</v>
      </c>
      <c r="AA14" s="128"/>
      <c r="AB14" s="15">
        <f t="shared" si="1"/>
        <v>2</v>
      </c>
      <c r="AC14" s="27">
        <f t="shared" si="2"/>
        <v>0</v>
      </c>
      <c r="AD14" s="17">
        <f t="shared" si="0"/>
        <v>1</v>
      </c>
      <c r="AE14" s="27">
        <f t="shared" si="3"/>
        <v>1</v>
      </c>
      <c r="AF14" s="27">
        <f t="shared" si="4"/>
        <v>0</v>
      </c>
      <c r="AG14" s="19">
        <f t="shared" si="5"/>
        <v>5.59</v>
      </c>
    </row>
    <row r="15" spans="1:33" x14ac:dyDescent="0.25">
      <c r="B15" s="237" t="s">
        <v>83</v>
      </c>
      <c r="C15" s="9"/>
      <c r="D15" s="159"/>
      <c r="E15" s="159"/>
      <c r="F15" s="10"/>
      <c r="G15" s="121"/>
      <c r="H15" s="9"/>
      <c r="I15" s="159"/>
      <c r="J15" s="159"/>
      <c r="K15" s="10"/>
      <c r="L15" s="128"/>
      <c r="M15" s="23"/>
      <c r="N15" s="159"/>
      <c r="O15" s="159"/>
      <c r="P15" s="10"/>
      <c r="Q15" s="121"/>
      <c r="R15" s="9"/>
      <c r="S15" s="159"/>
      <c r="T15" s="159"/>
      <c r="U15" s="10"/>
      <c r="V15" s="128"/>
      <c r="W15" s="259"/>
      <c r="X15" s="3"/>
      <c r="Y15" s="3"/>
      <c r="Z15" s="10"/>
      <c r="AA15" s="128"/>
      <c r="AB15" s="15">
        <f t="shared" si="1"/>
        <v>0</v>
      </c>
      <c r="AC15" s="27">
        <f t="shared" si="2"/>
        <v>0</v>
      </c>
      <c r="AD15" s="17">
        <f t="shared" si="0"/>
        <v>0</v>
      </c>
      <c r="AE15" s="27">
        <f t="shared" si="3"/>
        <v>0</v>
      </c>
      <c r="AF15" s="27">
        <f t="shared" si="4"/>
        <v>0</v>
      </c>
      <c r="AG15" s="19" t="str">
        <f t="shared" si="5"/>
        <v>-</v>
      </c>
    </row>
    <row r="16" spans="1:33" x14ac:dyDescent="0.25">
      <c r="B16" s="236" t="s">
        <v>12</v>
      </c>
      <c r="C16" s="9" t="s">
        <v>50</v>
      </c>
      <c r="D16" s="159">
        <v>0</v>
      </c>
      <c r="E16" s="159">
        <v>0</v>
      </c>
      <c r="F16" s="10">
        <v>6.36</v>
      </c>
      <c r="G16" s="121" t="s">
        <v>76</v>
      </c>
      <c r="H16" s="9"/>
      <c r="I16" s="159"/>
      <c r="J16" s="159"/>
      <c r="K16" s="10"/>
      <c r="L16" s="128"/>
      <c r="M16" s="23" t="s">
        <v>50</v>
      </c>
      <c r="N16" s="159">
        <v>0</v>
      </c>
      <c r="O16" s="159">
        <v>0</v>
      </c>
      <c r="P16" s="10">
        <v>6.46</v>
      </c>
      <c r="Q16" s="121" t="s">
        <v>76</v>
      </c>
      <c r="R16" s="9" t="s">
        <v>50</v>
      </c>
      <c r="S16" s="159">
        <v>0</v>
      </c>
      <c r="T16" s="159">
        <v>0</v>
      </c>
      <c r="U16" s="10">
        <v>7.28</v>
      </c>
      <c r="V16" s="128"/>
      <c r="W16" s="259" t="s">
        <v>50</v>
      </c>
      <c r="X16" s="3">
        <v>0</v>
      </c>
      <c r="Y16" s="3">
        <v>0</v>
      </c>
      <c r="Z16" s="10">
        <v>6</v>
      </c>
      <c r="AA16" s="128"/>
      <c r="AB16" s="15">
        <f t="shared" si="1"/>
        <v>4</v>
      </c>
      <c r="AC16" s="27">
        <f t="shared" si="2"/>
        <v>0</v>
      </c>
      <c r="AD16" s="17">
        <f t="shared" si="0"/>
        <v>0</v>
      </c>
      <c r="AE16" s="27">
        <f t="shared" si="3"/>
        <v>0</v>
      </c>
      <c r="AF16" s="27">
        <f t="shared" si="4"/>
        <v>2</v>
      </c>
      <c r="AG16" s="19">
        <f t="shared" si="5"/>
        <v>6.5250000000000004</v>
      </c>
    </row>
    <row r="17" spans="2:33" x14ac:dyDescent="0.25">
      <c r="B17" s="236" t="s">
        <v>56</v>
      </c>
      <c r="C17" s="9"/>
      <c r="D17" s="159"/>
      <c r="E17" s="159"/>
      <c r="F17" s="10"/>
      <c r="G17" s="121"/>
      <c r="H17" s="9"/>
      <c r="I17" s="159"/>
      <c r="J17" s="159"/>
      <c r="K17" s="10"/>
      <c r="L17" s="128"/>
      <c r="M17" s="23"/>
      <c r="N17" s="159"/>
      <c r="O17" s="159"/>
      <c r="P17" s="10"/>
      <c r="Q17" s="121"/>
      <c r="R17" s="9"/>
      <c r="S17" s="159"/>
      <c r="T17" s="159"/>
      <c r="U17" s="10"/>
      <c r="V17" s="128"/>
      <c r="W17" s="259"/>
      <c r="X17" s="3"/>
      <c r="Y17" s="3"/>
      <c r="Z17" s="10"/>
      <c r="AA17" s="128"/>
      <c r="AB17" s="15">
        <f t="shared" si="1"/>
        <v>0</v>
      </c>
      <c r="AC17" s="27">
        <f t="shared" si="2"/>
        <v>0</v>
      </c>
      <c r="AD17" s="17">
        <f t="shared" si="0"/>
        <v>0</v>
      </c>
      <c r="AE17" s="27">
        <f t="shared" si="3"/>
        <v>0</v>
      </c>
      <c r="AF17" s="27">
        <f t="shared" si="4"/>
        <v>0</v>
      </c>
      <c r="AG17" s="19" t="str">
        <f t="shared" si="5"/>
        <v>-</v>
      </c>
    </row>
    <row r="18" spans="2:33" x14ac:dyDescent="0.25">
      <c r="B18" s="236" t="s">
        <v>13</v>
      </c>
      <c r="C18" s="9"/>
      <c r="D18" s="159"/>
      <c r="E18" s="159"/>
      <c r="F18" s="10"/>
      <c r="G18" s="121"/>
      <c r="H18" s="9"/>
      <c r="I18" s="159"/>
      <c r="J18" s="159"/>
      <c r="K18" s="10"/>
      <c r="L18" s="128"/>
      <c r="M18" s="23"/>
      <c r="N18" s="159"/>
      <c r="O18" s="159"/>
      <c r="P18" s="10"/>
      <c r="Q18" s="121"/>
      <c r="R18" s="9"/>
      <c r="S18" s="159"/>
      <c r="T18" s="159"/>
      <c r="U18" s="10"/>
      <c r="V18" s="128"/>
      <c r="W18" s="259"/>
      <c r="X18" s="3"/>
      <c r="Y18" s="3"/>
      <c r="Z18" s="10"/>
      <c r="AA18" s="128"/>
      <c r="AB18" s="15">
        <f t="shared" si="1"/>
        <v>0</v>
      </c>
      <c r="AC18" s="27">
        <f t="shared" si="2"/>
        <v>0</v>
      </c>
      <c r="AD18" s="17">
        <f t="shared" si="0"/>
        <v>0</v>
      </c>
      <c r="AE18" s="27">
        <f t="shared" si="3"/>
        <v>0</v>
      </c>
      <c r="AF18" s="27">
        <f t="shared" si="4"/>
        <v>0</v>
      </c>
      <c r="AG18" s="19" t="str">
        <f t="shared" si="5"/>
        <v>-</v>
      </c>
    </row>
    <row r="19" spans="2:33" x14ac:dyDescent="0.25">
      <c r="B19" s="236" t="s">
        <v>14</v>
      </c>
      <c r="C19" s="9"/>
      <c r="D19" s="159"/>
      <c r="E19" s="159"/>
      <c r="F19" s="10"/>
      <c r="G19" s="121"/>
      <c r="H19" s="9" t="s">
        <v>50</v>
      </c>
      <c r="I19" s="159">
        <v>4</v>
      </c>
      <c r="J19" s="159">
        <v>2</v>
      </c>
      <c r="K19" s="10">
        <v>6.78</v>
      </c>
      <c r="L19" s="128" t="s">
        <v>76</v>
      </c>
      <c r="M19" s="23"/>
      <c r="N19" s="159"/>
      <c r="O19" s="159"/>
      <c r="P19" s="10"/>
      <c r="Q19" s="121"/>
      <c r="R19" s="9"/>
      <c r="S19" s="159"/>
      <c r="T19" s="159"/>
      <c r="U19" s="10"/>
      <c r="V19" s="128"/>
      <c r="W19" s="259"/>
      <c r="X19" s="3"/>
      <c r="Y19" s="3"/>
      <c r="Z19" s="10"/>
      <c r="AA19" s="128"/>
      <c r="AB19" s="15">
        <f t="shared" si="1"/>
        <v>1</v>
      </c>
      <c r="AC19" s="27">
        <f t="shared" si="2"/>
        <v>4</v>
      </c>
      <c r="AD19" s="17">
        <f t="shared" si="0"/>
        <v>2</v>
      </c>
      <c r="AE19" s="27">
        <f t="shared" si="3"/>
        <v>6</v>
      </c>
      <c r="AF19" s="27">
        <f t="shared" si="4"/>
        <v>1</v>
      </c>
      <c r="AG19" s="19">
        <f t="shared" si="5"/>
        <v>6.78</v>
      </c>
    </row>
    <row r="20" spans="2:33" x14ac:dyDescent="0.25">
      <c r="B20" s="237" t="s">
        <v>86</v>
      </c>
      <c r="C20" s="9"/>
      <c r="D20" s="159"/>
      <c r="E20" s="159"/>
      <c r="F20" s="10"/>
      <c r="G20" s="121"/>
      <c r="H20" s="9"/>
      <c r="I20" s="159"/>
      <c r="J20" s="159"/>
      <c r="K20" s="10"/>
      <c r="L20" s="128"/>
      <c r="M20" s="23"/>
      <c r="N20" s="159"/>
      <c r="O20" s="159"/>
      <c r="P20" s="10"/>
      <c r="Q20" s="121"/>
      <c r="R20" s="9"/>
      <c r="S20" s="159"/>
      <c r="T20" s="159"/>
      <c r="U20" s="10"/>
      <c r="V20" s="128"/>
      <c r="W20" s="259"/>
      <c r="X20" s="3"/>
      <c r="Y20" s="3"/>
      <c r="Z20" s="10"/>
      <c r="AA20" s="128"/>
      <c r="AB20" s="15">
        <f t="shared" si="1"/>
        <v>0</v>
      </c>
      <c r="AC20" s="27">
        <f t="shared" si="2"/>
        <v>0</v>
      </c>
      <c r="AD20" s="17">
        <f t="shared" si="0"/>
        <v>0</v>
      </c>
      <c r="AE20" s="27">
        <f t="shared" si="3"/>
        <v>0</v>
      </c>
      <c r="AF20" s="27">
        <f t="shared" si="4"/>
        <v>0</v>
      </c>
      <c r="AG20" s="19" t="str">
        <f t="shared" si="5"/>
        <v>-</v>
      </c>
    </row>
    <row r="21" spans="2:33" x14ac:dyDescent="0.25">
      <c r="B21" s="236" t="s">
        <v>15</v>
      </c>
      <c r="C21" s="9" t="s">
        <v>50</v>
      </c>
      <c r="D21" s="159">
        <v>0</v>
      </c>
      <c r="E21" s="159">
        <v>1</v>
      </c>
      <c r="F21" s="10">
        <v>5.88</v>
      </c>
      <c r="G21" s="121"/>
      <c r="H21" s="9"/>
      <c r="I21" s="159"/>
      <c r="J21" s="159"/>
      <c r="K21" s="10"/>
      <c r="L21" s="128"/>
      <c r="M21" s="23"/>
      <c r="N21" s="159"/>
      <c r="O21" s="159"/>
      <c r="P21" s="10"/>
      <c r="Q21" s="121"/>
      <c r="R21" s="9"/>
      <c r="S21" s="159"/>
      <c r="T21" s="159"/>
      <c r="U21" s="10"/>
      <c r="V21" s="128"/>
      <c r="W21" s="259" t="s">
        <v>50</v>
      </c>
      <c r="X21" s="3">
        <v>0</v>
      </c>
      <c r="Y21" s="3">
        <v>0</v>
      </c>
      <c r="Z21" s="10">
        <v>4.26</v>
      </c>
      <c r="AA21" s="128"/>
      <c r="AB21" s="15">
        <f t="shared" si="1"/>
        <v>2</v>
      </c>
      <c r="AC21" s="27">
        <f t="shared" si="2"/>
        <v>0</v>
      </c>
      <c r="AD21" s="17">
        <f t="shared" si="0"/>
        <v>1</v>
      </c>
      <c r="AE21" s="27">
        <f t="shared" si="3"/>
        <v>1</v>
      </c>
      <c r="AF21" s="27">
        <f t="shared" si="4"/>
        <v>0</v>
      </c>
      <c r="AG21" s="19">
        <f t="shared" si="5"/>
        <v>5.07</v>
      </c>
    </row>
    <row r="22" spans="2:33" x14ac:dyDescent="0.25">
      <c r="B22" s="236" t="s">
        <v>16</v>
      </c>
      <c r="C22" s="9"/>
      <c r="D22" s="159"/>
      <c r="E22" s="159"/>
      <c r="F22" s="10"/>
      <c r="G22" s="121"/>
      <c r="H22" s="9"/>
      <c r="I22" s="159"/>
      <c r="J22" s="159"/>
      <c r="K22" s="10"/>
      <c r="L22" s="128"/>
      <c r="M22" s="23"/>
      <c r="N22" s="159"/>
      <c r="O22" s="159"/>
      <c r="P22" s="10"/>
      <c r="Q22" s="121"/>
      <c r="R22" s="9"/>
      <c r="S22" s="159"/>
      <c r="T22" s="159"/>
      <c r="U22" s="10"/>
      <c r="V22" s="128"/>
      <c r="W22" s="259"/>
      <c r="X22" s="3"/>
      <c r="Y22" s="3"/>
      <c r="Z22" s="10"/>
      <c r="AA22" s="128"/>
      <c r="AB22" s="15">
        <f t="shared" si="1"/>
        <v>0</v>
      </c>
      <c r="AC22" s="27">
        <f t="shared" si="2"/>
        <v>0</v>
      </c>
      <c r="AD22" s="17">
        <f t="shared" si="0"/>
        <v>0</v>
      </c>
      <c r="AE22" s="27">
        <f t="shared" si="3"/>
        <v>0</v>
      </c>
      <c r="AF22" s="27">
        <f t="shared" si="4"/>
        <v>0</v>
      </c>
      <c r="AG22" s="19" t="str">
        <f t="shared" si="5"/>
        <v>-</v>
      </c>
    </row>
    <row r="23" spans="2:33" x14ac:dyDescent="0.25">
      <c r="B23" s="236" t="s">
        <v>17</v>
      </c>
      <c r="C23" s="9"/>
      <c r="D23" s="159"/>
      <c r="E23" s="159"/>
      <c r="F23" s="10"/>
      <c r="G23" s="121"/>
      <c r="H23" s="9" t="s">
        <v>50</v>
      </c>
      <c r="I23" s="159">
        <v>2</v>
      </c>
      <c r="J23" s="159">
        <v>2</v>
      </c>
      <c r="K23" s="10">
        <v>6.06</v>
      </c>
      <c r="L23" s="128" t="s">
        <v>76</v>
      </c>
      <c r="M23" s="23" t="s">
        <v>50</v>
      </c>
      <c r="N23" s="159">
        <v>6</v>
      </c>
      <c r="O23" s="159">
        <v>0</v>
      </c>
      <c r="P23" s="10">
        <v>8.3800000000000008</v>
      </c>
      <c r="Q23" s="121" t="s">
        <v>76</v>
      </c>
      <c r="R23" s="9" t="s">
        <v>50</v>
      </c>
      <c r="S23" s="159">
        <v>1</v>
      </c>
      <c r="T23" s="159">
        <v>1</v>
      </c>
      <c r="U23" s="10">
        <v>5.64</v>
      </c>
      <c r="V23" s="128"/>
      <c r="W23" s="259" t="s">
        <v>50</v>
      </c>
      <c r="X23" s="3">
        <v>1</v>
      </c>
      <c r="Y23" s="3">
        <v>3</v>
      </c>
      <c r="Z23" s="10">
        <v>5.66</v>
      </c>
      <c r="AA23" s="128"/>
      <c r="AB23" s="15">
        <f t="shared" si="1"/>
        <v>4</v>
      </c>
      <c r="AC23" s="27">
        <f t="shared" si="2"/>
        <v>10</v>
      </c>
      <c r="AD23" s="17">
        <f t="shared" si="0"/>
        <v>6</v>
      </c>
      <c r="AE23" s="27">
        <f t="shared" si="3"/>
        <v>16</v>
      </c>
      <c r="AF23" s="27">
        <f t="shared" si="4"/>
        <v>2</v>
      </c>
      <c r="AG23" s="19">
        <f t="shared" si="5"/>
        <v>6.4350000000000005</v>
      </c>
    </row>
    <row r="24" spans="2:33" x14ac:dyDescent="0.25">
      <c r="B24" s="236" t="s">
        <v>18</v>
      </c>
      <c r="C24" s="9"/>
      <c r="D24" s="159"/>
      <c r="E24" s="159"/>
      <c r="F24" s="10"/>
      <c r="G24" s="121"/>
      <c r="H24" s="9"/>
      <c r="I24" s="159"/>
      <c r="J24" s="159"/>
      <c r="K24" s="10"/>
      <c r="L24" s="128"/>
      <c r="M24" s="23"/>
      <c r="N24" s="159"/>
      <c r="O24" s="159"/>
      <c r="P24" s="10"/>
      <c r="Q24" s="121"/>
      <c r="R24" s="9"/>
      <c r="S24" s="159"/>
      <c r="T24" s="159"/>
      <c r="U24" s="10"/>
      <c r="V24" s="128"/>
      <c r="W24" s="259"/>
      <c r="X24" s="3"/>
      <c r="Y24" s="3"/>
      <c r="Z24" s="10"/>
      <c r="AA24" s="128"/>
      <c r="AB24" s="15">
        <f t="shared" si="1"/>
        <v>0</v>
      </c>
      <c r="AC24" s="27">
        <f t="shared" si="2"/>
        <v>0</v>
      </c>
      <c r="AD24" s="17">
        <f t="shared" si="0"/>
        <v>0</v>
      </c>
      <c r="AE24" s="27">
        <f t="shared" si="3"/>
        <v>0</v>
      </c>
      <c r="AF24" s="27">
        <f t="shared" si="4"/>
        <v>0</v>
      </c>
      <c r="AG24" s="19" t="str">
        <f t="shared" si="5"/>
        <v>-</v>
      </c>
    </row>
    <row r="25" spans="2:33" x14ac:dyDescent="0.25">
      <c r="B25" s="236" t="s">
        <v>19</v>
      </c>
      <c r="C25" s="9"/>
      <c r="D25" s="159"/>
      <c r="E25" s="159"/>
      <c r="F25" s="10"/>
      <c r="G25" s="121"/>
      <c r="H25" s="9"/>
      <c r="I25" s="159"/>
      <c r="J25" s="159"/>
      <c r="K25" s="10"/>
      <c r="L25" s="128"/>
      <c r="M25" s="23"/>
      <c r="N25" s="159"/>
      <c r="O25" s="159"/>
      <c r="P25" s="10"/>
      <c r="Q25" s="121"/>
      <c r="R25" s="9"/>
      <c r="S25" s="159"/>
      <c r="T25" s="159"/>
      <c r="U25" s="10"/>
      <c r="V25" s="128" t="s">
        <v>76</v>
      </c>
      <c r="W25" s="259"/>
      <c r="X25" s="3"/>
      <c r="Y25" s="3"/>
      <c r="Z25" s="10"/>
      <c r="AA25" s="128"/>
      <c r="AB25" s="15">
        <f t="shared" si="1"/>
        <v>0</v>
      </c>
      <c r="AC25" s="27">
        <f t="shared" si="2"/>
        <v>0</v>
      </c>
      <c r="AD25" s="17">
        <f t="shared" si="0"/>
        <v>0</v>
      </c>
      <c r="AE25" s="27">
        <f t="shared" si="3"/>
        <v>0</v>
      </c>
      <c r="AF25" s="27">
        <f t="shared" si="4"/>
        <v>1</v>
      </c>
      <c r="AG25" s="19" t="str">
        <f t="shared" si="5"/>
        <v>-</v>
      </c>
    </row>
    <row r="26" spans="2:33" x14ac:dyDescent="0.25">
      <c r="B26" s="236" t="s">
        <v>79</v>
      </c>
      <c r="C26" s="9"/>
      <c r="D26" s="159"/>
      <c r="E26" s="159"/>
      <c r="F26" s="10"/>
      <c r="G26" s="121"/>
      <c r="H26" s="9"/>
      <c r="I26" s="159"/>
      <c r="J26" s="159"/>
      <c r="K26" s="10"/>
      <c r="L26" s="128"/>
      <c r="M26" s="23"/>
      <c r="N26" s="159"/>
      <c r="O26" s="159"/>
      <c r="P26" s="10"/>
      <c r="Q26" s="121"/>
      <c r="R26" s="9"/>
      <c r="S26" s="159"/>
      <c r="T26" s="159"/>
      <c r="U26" s="10"/>
      <c r="V26" s="128"/>
      <c r="W26" s="259"/>
      <c r="X26" s="3"/>
      <c r="Y26" s="3"/>
      <c r="Z26" s="10"/>
      <c r="AA26" s="128"/>
      <c r="AB26" s="15">
        <f t="shared" si="1"/>
        <v>0</v>
      </c>
      <c r="AC26" s="27">
        <f t="shared" si="2"/>
        <v>0</v>
      </c>
      <c r="AD26" s="17">
        <f t="shared" si="0"/>
        <v>0</v>
      </c>
      <c r="AE26" s="27">
        <f t="shared" si="3"/>
        <v>0</v>
      </c>
      <c r="AF26" s="27">
        <f t="shared" si="4"/>
        <v>0</v>
      </c>
      <c r="AG26" s="19" t="str">
        <f t="shared" si="5"/>
        <v>-</v>
      </c>
    </row>
    <row r="27" spans="2:33" x14ac:dyDescent="0.25">
      <c r="B27" s="236" t="s">
        <v>20</v>
      </c>
      <c r="C27" s="9" t="s">
        <v>50</v>
      </c>
      <c r="D27" s="159">
        <v>2</v>
      </c>
      <c r="E27" s="159">
        <v>2</v>
      </c>
      <c r="F27" s="10">
        <v>6.48</v>
      </c>
      <c r="G27" s="121"/>
      <c r="H27" s="9" t="s">
        <v>50</v>
      </c>
      <c r="I27" s="159">
        <v>3</v>
      </c>
      <c r="J27" s="159">
        <v>2</v>
      </c>
      <c r="K27" s="10">
        <v>5.58</v>
      </c>
      <c r="L27" s="128"/>
      <c r="M27" s="23" t="s">
        <v>50</v>
      </c>
      <c r="N27" s="159">
        <v>0</v>
      </c>
      <c r="O27" s="159">
        <v>0</v>
      </c>
      <c r="P27" s="10">
        <v>4.18</v>
      </c>
      <c r="Q27" s="121"/>
      <c r="R27" s="9" t="s">
        <v>50</v>
      </c>
      <c r="S27" s="159">
        <v>0</v>
      </c>
      <c r="T27" s="159">
        <v>1</v>
      </c>
      <c r="U27" s="10">
        <v>6.14</v>
      </c>
      <c r="V27" s="128" t="s">
        <v>76</v>
      </c>
      <c r="W27" s="259"/>
      <c r="X27" s="3"/>
      <c r="Y27" s="3"/>
      <c r="Z27" s="10"/>
      <c r="AA27" s="128"/>
      <c r="AB27" s="15">
        <f t="shared" si="1"/>
        <v>4</v>
      </c>
      <c r="AC27" s="27">
        <f t="shared" si="2"/>
        <v>5</v>
      </c>
      <c r="AD27" s="17">
        <f t="shared" si="0"/>
        <v>5</v>
      </c>
      <c r="AE27" s="27">
        <f t="shared" si="3"/>
        <v>10</v>
      </c>
      <c r="AF27" s="27">
        <f t="shared" si="4"/>
        <v>1</v>
      </c>
      <c r="AG27" s="19">
        <f t="shared" si="5"/>
        <v>5.5950000000000006</v>
      </c>
    </row>
    <row r="28" spans="2:33" x14ac:dyDescent="0.25">
      <c r="B28" s="237" t="s">
        <v>82</v>
      </c>
      <c r="C28" s="9"/>
      <c r="D28" s="159"/>
      <c r="E28" s="159"/>
      <c r="F28" s="10"/>
      <c r="G28" s="121"/>
      <c r="H28" s="9"/>
      <c r="I28" s="159"/>
      <c r="J28" s="159"/>
      <c r="K28" s="10"/>
      <c r="L28" s="128"/>
      <c r="M28" s="23"/>
      <c r="N28" s="159"/>
      <c r="O28" s="159"/>
      <c r="P28" s="10"/>
      <c r="Q28" s="121"/>
      <c r="R28" s="9"/>
      <c r="S28" s="159"/>
      <c r="T28" s="159"/>
      <c r="U28" s="10"/>
      <c r="V28" s="128"/>
      <c r="W28" s="259"/>
      <c r="X28" s="3"/>
      <c r="Y28" s="3"/>
      <c r="Z28" s="10"/>
      <c r="AA28" s="128"/>
      <c r="AB28" s="15">
        <f t="shared" si="1"/>
        <v>0</v>
      </c>
      <c r="AC28" s="27">
        <f t="shared" si="2"/>
        <v>0</v>
      </c>
      <c r="AD28" s="17">
        <f t="shared" si="0"/>
        <v>0</v>
      </c>
      <c r="AE28" s="27">
        <f t="shared" si="3"/>
        <v>0</v>
      </c>
      <c r="AF28" s="27">
        <f t="shared" si="4"/>
        <v>0</v>
      </c>
      <c r="AG28" s="19" t="str">
        <f t="shared" si="5"/>
        <v>-</v>
      </c>
    </row>
    <row r="29" spans="2:33" x14ac:dyDescent="0.25">
      <c r="B29" s="236" t="s">
        <v>21</v>
      </c>
      <c r="C29" s="9"/>
      <c r="D29" s="159"/>
      <c r="E29" s="159"/>
      <c r="F29" s="10"/>
      <c r="G29" s="121"/>
      <c r="H29" s="9" t="s">
        <v>50</v>
      </c>
      <c r="I29" s="159">
        <v>0</v>
      </c>
      <c r="J29" s="159">
        <v>1</v>
      </c>
      <c r="K29" s="10">
        <v>3.46</v>
      </c>
      <c r="L29" s="128"/>
      <c r="M29" s="23"/>
      <c r="N29" s="159"/>
      <c r="O29" s="159"/>
      <c r="P29" s="10"/>
      <c r="Q29" s="121"/>
      <c r="R29" s="9"/>
      <c r="S29" s="159"/>
      <c r="T29" s="159"/>
      <c r="U29" s="10"/>
      <c r="V29" s="128"/>
      <c r="W29" s="259"/>
      <c r="X29" s="3"/>
      <c r="Y29" s="3"/>
      <c r="Z29" s="10"/>
      <c r="AA29" s="128"/>
      <c r="AB29" s="15">
        <f t="shared" si="1"/>
        <v>1</v>
      </c>
      <c r="AC29" s="27">
        <f t="shared" si="2"/>
        <v>0</v>
      </c>
      <c r="AD29" s="17">
        <f t="shared" si="0"/>
        <v>1</v>
      </c>
      <c r="AE29" s="27">
        <f t="shared" si="3"/>
        <v>1</v>
      </c>
      <c r="AF29" s="27">
        <f t="shared" si="4"/>
        <v>0</v>
      </c>
      <c r="AG29" s="19">
        <f t="shared" si="5"/>
        <v>3.46</v>
      </c>
    </row>
    <row r="30" spans="2:33" x14ac:dyDescent="0.25">
      <c r="B30" s="236" t="s">
        <v>22</v>
      </c>
      <c r="C30" s="9"/>
      <c r="D30" s="159"/>
      <c r="E30" s="159"/>
      <c r="F30" s="10"/>
      <c r="G30" s="121"/>
      <c r="H30" s="9"/>
      <c r="I30" s="159"/>
      <c r="J30" s="159"/>
      <c r="K30" s="10"/>
      <c r="L30" s="128"/>
      <c r="M30" s="23"/>
      <c r="N30" s="159"/>
      <c r="O30" s="159"/>
      <c r="P30" s="10"/>
      <c r="Q30" s="121"/>
      <c r="R30" s="9"/>
      <c r="S30" s="159"/>
      <c r="T30" s="159"/>
      <c r="U30" s="10"/>
      <c r="V30" s="128"/>
      <c r="W30" s="259"/>
      <c r="X30" s="3"/>
      <c r="Y30" s="3"/>
      <c r="Z30" s="10"/>
      <c r="AA30" s="128"/>
      <c r="AB30" s="15">
        <f t="shared" si="1"/>
        <v>0</v>
      </c>
      <c r="AC30" s="27">
        <f t="shared" si="2"/>
        <v>0</v>
      </c>
      <c r="AD30" s="17">
        <f t="shared" si="0"/>
        <v>0</v>
      </c>
      <c r="AE30" s="27">
        <f t="shared" si="3"/>
        <v>0</v>
      </c>
      <c r="AF30" s="27">
        <f t="shared" si="4"/>
        <v>0</v>
      </c>
      <c r="AG30" s="19" t="str">
        <f t="shared" si="5"/>
        <v>-</v>
      </c>
    </row>
    <row r="31" spans="2:33" x14ac:dyDescent="0.25">
      <c r="B31" s="236" t="s">
        <v>23</v>
      </c>
      <c r="C31" s="9" t="s">
        <v>50</v>
      </c>
      <c r="D31" s="159">
        <v>1</v>
      </c>
      <c r="E31" s="159">
        <v>1</v>
      </c>
      <c r="F31" s="10">
        <v>5.64</v>
      </c>
      <c r="G31" s="121"/>
      <c r="H31" s="9"/>
      <c r="I31" s="159"/>
      <c r="J31" s="159"/>
      <c r="K31" s="10"/>
      <c r="L31" s="128"/>
      <c r="M31" s="23" t="s">
        <v>50</v>
      </c>
      <c r="N31" s="159">
        <v>0</v>
      </c>
      <c r="O31" s="159">
        <v>3</v>
      </c>
      <c r="P31" s="10">
        <v>6.38</v>
      </c>
      <c r="Q31" s="121" t="s">
        <v>76</v>
      </c>
      <c r="R31" s="9"/>
      <c r="S31" s="159"/>
      <c r="T31" s="159"/>
      <c r="U31" s="10"/>
      <c r="V31" s="128"/>
      <c r="W31" s="259"/>
      <c r="X31" s="3"/>
      <c r="Y31" s="3"/>
      <c r="Z31" s="10"/>
      <c r="AA31" s="128"/>
      <c r="AB31" s="15">
        <f t="shared" si="1"/>
        <v>2</v>
      </c>
      <c r="AC31" s="27">
        <f t="shared" si="2"/>
        <v>1</v>
      </c>
      <c r="AD31" s="17">
        <f t="shared" si="0"/>
        <v>4</v>
      </c>
      <c r="AE31" s="27">
        <f t="shared" si="3"/>
        <v>5</v>
      </c>
      <c r="AF31" s="27">
        <f t="shared" si="4"/>
        <v>1</v>
      </c>
      <c r="AG31" s="19">
        <f t="shared" si="5"/>
        <v>6.01</v>
      </c>
    </row>
    <row r="32" spans="2:33" x14ac:dyDescent="0.25">
      <c r="B32" s="237" t="s">
        <v>84</v>
      </c>
      <c r="C32" s="9"/>
      <c r="D32" s="159"/>
      <c r="E32" s="159"/>
      <c r="F32" s="10"/>
      <c r="G32" s="121"/>
      <c r="H32" s="9"/>
      <c r="I32" s="159"/>
      <c r="J32" s="159"/>
      <c r="K32" s="10"/>
      <c r="L32" s="128"/>
      <c r="M32" s="23"/>
      <c r="N32" s="159"/>
      <c r="O32" s="159"/>
      <c r="P32" s="10"/>
      <c r="Q32" s="121"/>
      <c r="R32" s="9"/>
      <c r="S32" s="159"/>
      <c r="T32" s="159"/>
      <c r="U32" s="10"/>
      <c r="V32" s="128"/>
      <c r="W32" s="259"/>
      <c r="X32" s="3"/>
      <c r="Y32" s="3"/>
      <c r="Z32" s="10"/>
      <c r="AA32" s="128"/>
      <c r="AB32" s="15">
        <f t="shared" si="1"/>
        <v>0</v>
      </c>
      <c r="AC32" s="27">
        <f t="shared" si="2"/>
        <v>0</v>
      </c>
      <c r="AD32" s="17">
        <f t="shared" si="0"/>
        <v>0</v>
      </c>
      <c r="AE32" s="27">
        <f t="shared" si="3"/>
        <v>0</v>
      </c>
      <c r="AF32" s="27">
        <f t="shared" si="4"/>
        <v>0</v>
      </c>
      <c r="AG32" s="19" t="str">
        <f t="shared" si="5"/>
        <v>-</v>
      </c>
    </row>
    <row r="33" spans="2:33" x14ac:dyDescent="0.25">
      <c r="B33" s="236" t="s">
        <v>24</v>
      </c>
      <c r="C33" s="9"/>
      <c r="D33" s="159"/>
      <c r="E33" s="159"/>
      <c r="F33" s="10"/>
      <c r="G33" s="121"/>
      <c r="H33" s="9"/>
      <c r="I33" s="159"/>
      <c r="J33" s="159"/>
      <c r="K33" s="10"/>
      <c r="L33" s="128"/>
      <c r="M33" s="23"/>
      <c r="N33" s="159"/>
      <c r="O33" s="159"/>
      <c r="P33" s="10"/>
      <c r="Q33" s="121"/>
      <c r="R33" s="9"/>
      <c r="S33" s="159"/>
      <c r="T33" s="159"/>
      <c r="U33" s="10"/>
      <c r="V33" s="128"/>
      <c r="W33" s="259"/>
      <c r="X33" s="3"/>
      <c r="Y33" s="3"/>
      <c r="Z33" s="10"/>
      <c r="AA33" s="128"/>
      <c r="AB33" s="15">
        <f t="shared" si="1"/>
        <v>0</v>
      </c>
      <c r="AC33" s="27">
        <f t="shared" si="2"/>
        <v>0</v>
      </c>
      <c r="AD33" s="17">
        <f t="shared" si="0"/>
        <v>0</v>
      </c>
      <c r="AE33" s="27">
        <f t="shared" si="3"/>
        <v>0</v>
      </c>
      <c r="AF33" s="27">
        <f t="shared" si="4"/>
        <v>0</v>
      </c>
      <c r="AG33" s="19" t="str">
        <f t="shared" si="5"/>
        <v>-</v>
      </c>
    </row>
    <row r="34" spans="2:33" x14ac:dyDescent="0.25">
      <c r="B34" s="236" t="s">
        <v>25</v>
      </c>
      <c r="C34" s="9" t="s">
        <v>50</v>
      </c>
      <c r="D34" s="159">
        <v>0</v>
      </c>
      <c r="E34" s="159">
        <v>0</v>
      </c>
      <c r="F34" s="10">
        <v>6.42</v>
      </c>
      <c r="G34" s="121" t="s">
        <v>76</v>
      </c>
      <c r="H34" s="9" t="s">
        <v>50</v>
      </c>
      <c r="I34" s="159">
        <v>0</v>
      </c>
      <c r="J34" s="159">
        <v>1</v>
      </c>
      <c r="K34" s="10">
        <v>5.86</v>
      </c>
      <c r="L34" s="128" t="s">
        <v>76</v>
      </c>
      <c r="M34" s="23"/>
      <c r="N34" s="159"/>
      <c r="O34" s="159"/>
      <c r="P34" s="10"/>
      <c r="Q34" s="121"/>
      <c r="R34" s="9" t="s">
        <v>50</v>
      </c>
      <c r="S34" s="159">
        <v>1</v>
      </c>
      <c r="T34" s="159">
        <v>0</v>
      </c>
      <c r="U34" s="10">
        <v>6.08</v>
      </c>
      <c r="V34" s="128"/>
      <c r="W34" s="259" t="s">
        <v>50</v>
      </c>
      <c r="X34" s="3">
        <v>0</v>
      </c>
      <c r="Y34" s="3">
        <v>0</v>
      </c>
      <c r="Z34" s="10">
        <v>6.14</v>
      </c>
      <c r="AA34" s="128" t="s">
        <v>76</v>
      </c>
      <c r="AB34" s="15">
        <f t="shared" si="1"/>
        <v>4</v>
      </c>
      <c r="AC34" s="27">
        <f t="shared" si="2"/>
        <v>1</v>
      </c>
      <c r="AD34" s="17">
        <f t="shared" si="0"/>
        <v>1</v>
      </c>
      <c r="AE34" s="27">
        <f t="shared" si="3"/>
        <v>2</v>
      </c>
      <c r="AF34" s="27">
        <f t="shared" si="4"/>
        <v>3</v>
      </c>
      <c r="AG34" s="19">
        <f t="shared" si="5"/>
        <v>6.125</v>
      </c>
    </row>
    <row r="35" spans="2:33" x14ac:dyDescent="0.25">
      <c r="B35" s="236" t="s">
        <v>26</v>
      </c>
      <c r="C35" s="9" t="s">
        <v>50</v>
      </c>
      <c r="D35" s="159">
        <v>4</v>
      </c>
      <c r="E35" s="159">
        <v>2</v>
      </c>
      <c r="F35" s="10">
        <v>7.52</v>
      </c>
      <c r="G35" s="121" t="s">
        <v>76</v>
      </c>
      <c r="H35" s="9"/>
      <c r="I35" s="159"/>
      <c r="J35" s="159"/>
      <c r="K35" s="10"/>
      <c r="L35" s="128"/>
      <c r="M35" s="23"/>
      <c r="N35" s="159"/>
      <c r="O35" s="159"/>
      <c r="P35" s="10"/>
      <c r="Q35" s="121"/>
      <c r="R35" s="9"/>
      <c r="S35" s="159"/>
      <c r="T35" s="159"/>
      <c r="U35" s="10"/>
      <c r="V35" s="128"/>
      <c r="W35" s="259" t="s">
        <v>50</v>
      </c>
      <c r="X35" s="3">
        <v>3</v>
      </c>
      <c r="Y35" s="3">
        <v>0</v>
      </c>
      <c r="Z35" s="10">
        <v>5.5</v>
      </c>
      <c r="AA35" s="128"/>
      <c r="AB35" s="15">
        <f t="shared" si="1"/>
        <v>2</v>
      </c>
      <c r="AC35" s="27">
        <f t="shared" si="2"/>
        <v>7</v>
      </c>
      <c r="AD35" s="17">
        <f t="shared" si="0"/>
        <v>2</v>
      </c>
      <c r="AE35" s="27">
        <f t="shared" si="3"/>
        <v>9</v>
      </c>
      <c r="AF35" s="27">
        <f t="shared" si="4"/>
        <v>1</v>
      </c>
      <c r="AG35" s="19">
        <f t="shared" si="5"/>
        <v>6.51</v>
      </c>
    </row>
    <row r="36" spans="2:33" x14ac:dyDescent="0.25">
      <c r="B36" s="236" t="s">
        <v>27</v>
      </c>
      <c r="C36" s="9" t="s">
        <v>50</v>
      </c>
      <c r="D36" s="159">
        <v>1</v>
      </c>
      <c r="E36" s="159">
        <v>0</v>
      </c>
      <c r="F36" s="10">
        <v>4.58</v>
      </c>
      <c r="G36" s="121"/>
      <c r="H36" s="9" t="s">
        <v>50</v>
      </c>
      <c r="I36" s="159">
        <v>2</v>
      </c>
      <c r="J36" s="159">
        <v>4</v>
      </c>
      <c r="K36" s="10">
        <v>4.78</v>
      </c>
      <c r="L36" s="128"/>
      <c r="M36" s="23" t="s">
        <v>50</v>
      </c>
      <c r="N36" s="159">
        <v>0</v>
      </c>
      <c r="O36" s="159">
        <v>0</v>
      </c>
      <c r="P36" s="10">
        <v>3.66</v>
      </c>
      <c r="Q36" s="121"/>
      <c r="R36" s="9" t="s">
        <v>50</v>
      </c>
      <c r="S36" s="159">
        <v>0</v>
      </c>
      <c r="T36" s="159">
        <v>3</v>
      </c>
      <c r="U36" s="10">
        <v>5.92</v>
      </c>
      <c r="V36" s="128" t="s">
        <v>76</v>
      </c>
      <c r="W36" s="259" t="s">
        <v>50</v>
      </c>
      <c r="X36" s="3">
        <v>1</v>
      </c>
      <c r="Y36" s="3">
        <v>2</v>
      </c>
      <c r="Z36" s="10">
        <v>6.32</v>
      </c>
      <c r="AA36" s="128" t="s">
        <v>76</v>
      </c>
      <c r="AB36" s="15">
        <f t="shared" si="1"/>
        <v>5</v>
      </c>
      <c r="AC36" s="27">
        <f t="shared" si="2"/>
        <v>4</v>
      </c>
      <c r="AD36" s="17">
        <f t="shared" si="0"/>
        <v>9</v>
      </c>
      <c r="AE36" s="27">
        <f t="shared" si="3"/>
        <v>13</v>
      </c>
      <c r="AF36" s="27">
        <f t="shared" si="4"/>
        <v>2</v>
      </c>
      <c r="AG36" s="19">
        <f t="shared" si="5"/>
        <v>5.0519999999999996</v>
      </c>
    </row>
    <row r="37" spans="2:33" x14ac:dyDescent="0.25">
      <c r="B37" s="236" t="s">
        <v>28</v>
      </c>
      <c r="C37" s="9" t="s">
        <v>50</v>
      </c>
      <c r="D37" s="159">
        <v>0</v>
      </c>
      <c r="E37" s="159">
        <v>0</v>
      </c>
      <c r="F37" s="10">
        <v>5.7</v>
      </c>
      <c r="G37" s="121"/>
      <c r="H37" s="9" t="s">
        <v>50</v>
      </c>
      <c r="I37" s="159">
        <v>0</v>
      </c>
      <c r="J37" s="159">
        <v>0</v>
      </c>
      <c r="K37" s="10">
        <v>5.64</v>
      </c>
      <c r="L37" s="128"/>
      <c r="M37" s="23" t="s">
        <v>50</v>
      </c>
      <c r="N37" s="159">
        <v>0</v>
      </c>
      <c r="O37" s="159">
        <v>1</v>
      </c>
      <c r="P37" s="10">
        <v>5.62</v>
      </c>
      <c r="Q37" s="121"/>
      <c r="R37" s="9" t="s">
        <v>50</v>
      </c>
      <c r="S37" s="159">
        <v>0</v>
      </c>
      <c r="T37" s="159">
        <v>0</v>
      </c>
      <c r="U37" s="10">
        <v>5.86</v>
      </c>
      <c r="V37" s="128"/>
      <c r="W37" s="259" t="s">
        <v>50</v>
      </c>
      <c r="X37" s="3">
        <v>1</v>
      </c>
      <c r="Y37" s="3">
        <v>1</v>
      </c>
      <c r="Z37" s="10">
        <v>7.34</v>
      </c>
      <c r="AA37" s="128" t="s">
        <v>76</v>
      </c>
      <c r="AB37" s="15">
        <f t="shared" si="1"/>
        <v>5</v>
      </c>
      <c r="AC37" s="27">
        <f t="shared" si="2"/>
        <v>1</v>
      </c>
      <c r="AD37" s="17">
        <f t="shared" si="0"/>
        <v>2</v>
      </c>
      <c r="AE37" s="27">
        <f t="shared" si="3"/>
        <v>3</v>
      </c>
      <c r="AF37" s="27">
        <f t="shared" si="4"/>
        <v>1</v>
      </c>
      <c r="AG37" s="19">
        <f t="shared" si="5"/>
        <v>6.032</v>
      </c>
    </row>
    <row r="38" spans="2:33" x14ac:dyDescent="0.25">
      <c r="B38" s="236" t="s">
        <v>77</v>
      </c>
      <c r="C38" s="9"/>
      <c r="D38" s="159"/>
      <c r="E38" s="159"/>
      <c r="F38" s="10"/>
      <c r="G38" s="121"/>
      <c r="H38" s="9"/>
      <c r="I38" s="159"/>
      <c r="J38" s="159"/>
      <c r="K38" s="10"/>
      <c r="L38" s="128"/>
      <c r="M38" s="23"/>
      <c r="N38" s="159"/>
      <c r="O38" s="159"/>
      <c r="P38" s="10"/>
      <c r="Q38" s="121"/>
      <c r="R38" s="9"/>
      <c r="S38" s="159"/>
      <c r="T38" s="159"/>
      <c r="U38" s="10"/>
      <c r="V38" s="128"/>
      <c r="W38" s="259"/>
      <c r="X38" s="3"/>
      <c r="Y38" s="3"/>
      <c r="Z38" s="10"/>
      <c r="AA38" s="128"/>
      <c r="AB38" s="15">
        <f t="shared" si="1"/>
        <v>0</v>
      </c>
      <c r="AC38" s="27">
        <f t="shared" si="2"/>
        <v>0</v>
      </c>
      <c r="AD38" s="17">
        <f t="shared" si="0"/>
        <v>0</v>
      </c>
      <c r="AE38" s="27">
        <f t="shared" si="3"/>
        <v>0</v>
      </c>
      <c r="AF38" s="27">
        <f t="shared" si="4"/>
        <v>0</v>
      </c>
      <c r="AG38" s="19" t="str">
        <f t="shared" si="5"/>
        <v>-</v>
      </c>
    </row>
    <row r="39" spans="2:33" x14ac:dyDescent="0.25">
      <c r="B39" s="236" t="s">
        <v>29</v>
      </c>
      <c r="C39" s="9"/>
      <c r="D39" s="159"/>
      <c r="E39" s="159"/>
      <c r="F39" s="10"/>
      <c r="G39" s="121"/>
      <c r="H39" s="9"/>
      <c r="I39" s="159"/>
      <c r="J39" s="159"/>
      <c r="K39" s="10"/>
      <c r="L39" s="128"/>
      <c r="M39" s="23" t="s">
        <v>50</v>
      </c>
      <c r="N39" s="159">
        <v>1</v>
      </c>
      <c r="O39" s="159">
        <v>0</v>
      </c>
      <c r="P39" s="10">
        <v>5.26</v>
      </c>
      <c r="Q39" s="121"/>
      <c r="R39" s="9"/>
      <c r="S39" s="159"/>
      <c r="T39" s="159"/>
      <c r="U39" s="10"/>
      <c r="V39" s="128"/>
      <c r="W39" s="259" t="s">
        <v>50</v>
      </c>
      <c r="X39" s="3">
        <v>1</v>
      </c>
      <c r="Y39" s="3">
        <v>0</v>
      </c>
      <c r="Z39" s="10">
        <v>4.34</v>
      </c>
      <c r="AA39" s="128"/>
      <c r="AB39" s="15">
        <f t="shared" si="1"/>
        <v>2</v>
      </c>
      <c r="AC39" s="27">
        <f t="shared" si="2"/>
        <v>2</v>
      </c>
      <c r="AD39" s="17">
        <f t="shared" si="0"/>
        <v>0</v>
      </c>
      <c r="AE39" s="27">
        <f t="shared" si="3"/>
        <v>2</v>
      </c>
      <c r="AF39" s="27">
        <f t="shared" si="4"/>
        <v>0</v>
      </c>
      <c r="AG39" s="19">
        <f t="shared" si="5"/>
        <v>4.8</v>
      </c>
    </row>
    <row r="40" spans="2:33" x14ac:dyDescent="0.25">
      <c r="B40" s="236" t="s">
        <v>30</v>
      </c>
      <c r="C40" s="9" t="s">
        <v>50</v>
      </c>
      <c r="D40" s="159">
        <v>6</v>
      </c>
      <c r="E40" s="159">
        <v>3</v>
      </c>
      <c r="F40" s="10">
        <v>8.8800000000000008</v>
      </c>
      <c r="G40" s="121" t="s">
        <v>76</v>
      </c>
      <c r="H40" s="9" t="s">
        <v>50</v>
      </c>
      <c r="I40" s="159">
        <v>1</v>
      </c>
      <c r="J40" s="159">
        <v>0</v>
      </c>
      <c r="K40" s="10"/>
      <c r="L40" s="128"/>
      <c r="M40" s="23" t="s">
        <v>50</v>
      </c>
      <c r="N40" s="159">
        <v>1</v>
      </c>
      <c r="O40" s="159">
        <v>0</v>
      </c>
      <c r="P40" s="10">
        <v>4.32</v>
      </c>
      <c r="Q40" s="121"/>
      <c r="R40" s="9" t="s">
        <v>50</v>
      </c>
      <c r="S40" s="159">
        <v>2</v>
      </c>
      <c r="T40" s="159">
        <v>0</v>
      </c>
      <c r="U40" s="10">
        <v>5.5</v>
      </c>
      <c r="V40" s="128"/>
      <c r="W40" s="259" t="s">
        <v>50</v>
      </c>
      <c r="X40" s="3">
        <v>1</v>
      </c>
      <c r="Y40" s="3">
        <v>2</v>
      </c>
      <c r="Z40" s="10">
        <v>5.4</v>
      </c>
      <c r="AA40" s="128"/>
      <c r="AB40" s="15">
        <f t="shared" si="1"/>
        <v>5</v>
      </c>
      <c r="AC40" s="27">
        <f t="shared" si="2"/>
        <v>11</v>
      </c>
      <c r="AD40" s="17">
        <f t="shared" si="0"/>
        <v>5</v>
      </c>
      <c r="AE40" s="27">
        <f t="shared" si="3"/>
        <v>16</v>
      </c>
      <c r="AF40" s="27">
        <f t="shared" si="4"/>
        <v>1</v>
      </c>
      <c r="AG40" s="19">
        <f t="shared" si="5"/>
        <v>6.0250000000000004</v>
      </c>
    </row>
    <row r="41" spans="2:33" x14ac:dyDescent="0.25">
      <c r="B41" s="236" t="s">
        <v>31</v>
      </c>
      <c r="C41" s="9" t="s">
        <v>50</v>
      </c>
      <c r="D41" s="159">
        <v>0</v>
      </c>
      <c r="E41" s="159">
        <v>0</v>
      </c>
      <c r="F41" s="10">
        <v>5.7</v>
      </c>
      <c r="G41" s="121"/>
      <c r="H41" s="9" t="s">
        <v>50</v>
      </c>
      <c r="I41" s="159">
        <v>0</v>
      </c>
      <c r="J41" s="159">
        <v>0</v>
      </c>
      <c r="K41" s="10">
        <v>5.92</v>
      </c>
      <c r="L41" s="128"/>
      <c r="M41" s="23" t="s">
        <v>50</v>
      </c>
      <c r="N41" s="159">
        <v>1</v>
      </c>
      <c r="O41" s="159">
        <v>0</v>
      </c>
      <c r="P41" s="10">
        <v>5.12</v>
      </c>
      <c r="Q41" s="121"/>
      <c r="R41" s="9" t="s">
        <v>50</v>
      </c>
      <c r="S41" s="159">
        <v>0</v>
      </c>
      <c r="T41" s="159">
        <v>1</v>
      </c>
      <c r="U41" s="10">
        <v>5.78</v>
      </c>
      <c r="V41" s="128"/>
      <c r="W41" s="259" t="s">
        <v>50</v>
      </c>
      <c r="X41" s="3">
        <v>0</v>
      </c>
      <c r="Y41" s="3">
        <v>1</v>
      </c>
      <c r="Z41" s="10">
        <v>6</v>
      </c>
      <c r="AA41" s="128"/>
      <c r="AB41" s="15">
        <f t="shared" si="1"/>
        <v>5</v>
      </c>
      <c r="AC41" s="27">
        <f t="shared" si="2"/>
        <v>1</v>
      </c>
      <c r="AD41" s="17">
        <f t="shared" si="0"/>
        <v>2</v>
      </c>
      <c r="AE41" s="27">
        <f t="shared" si="3"/>
        <v>3</v>
      </c>
      <c r="AF41" s="27">
        <f t="shared" si="4"/>
        <v>0</v>
      </c>
      <c r="AG41" s="19">
        <f t="shared" si="5"/>
        <v>5.7040000000000006</v>
      </c>
    </row>
    <row r="42" spans="2:33" x14ac:dyDescent="0.25">
      <c r="B42" s="236" t="s">
        <v>32</v>
      </c>
      <c r="C42" s="9" t="s">
        <v>50</v>
      </c>
      <c r="D42" s="159">
        <v>1</v>
      </c>
      <c r="E42" s="159">
        <v>0</v>
      </c>
      <c r="F42" s="10">
        <v>5.36</v>
      </c>
      <c r="G42" s="121"/>
      <c r="H42" s="9" t="s">
        <v>50</v>
      </c>
      <c r="I42" s="159">
        <v>2</v>
      </c>
      <c r="J42" s="159">
        <v>1</v>
      </c>
      <c r="K42" s="10">
        <v>6.78</v>
      </c>
      <c r="L42" s="128" t="s">
        <v>76</v>
      </c>
      <c r="M42" s="23" t="s">
        <v>55</v>
      </c>
      <c r="N42" s="159">
        <v>0</v>
      </c>
      <c r="O42" s="159">
        <v>1</v>
      </c>
      <c r="P42" s="10">
        <v>6.06</v>
      </c>
      <c r="Q42" s="121" t="s">
        <v>76</v>
      </c>
      <c r="R42" s="9" t="s">
        <v>50</v>
      </c>
      <c r="S42" s="159">
        <v>1</v>
      </c>
      <c r="T42" s="159">
        <v>3</v>
      </c>
      <c r="U42" s="10">
        <v>6.42</v>
      </c>
      <c r="V42" s="128"/>
      <c r="W42" s="259" t="s">
        <v>50</v>
      </c>
      <c r="X42" s="3">
        <v>0</v>
      </c>
      <c r="Y42" s="3">
        <v>0</v>
      </c>
      <c r="Z42" s="10">
        <v>5.26</v>
      </c>
      <c r="AA42" s="128"/>
      <c r="AB42" s="15">
        <f t="shared" si="1"/>
        <v>4</v>
      </c>
      <c r="AC42" s="27">
        <f t="shared" si="2"/>
        <v>4</v>
      </c>
      <c r="AD42" s="17">
        <f t="shared" si="0"/>
        <v>5</v>
      </c>
      <c r="AE42" s="27">
        <f t="shared" si="3"/>
        <v>9</v>
      </c>
      <c r="AF42" s="27">
        <f t="shared" si="4"/>
        <v>2</v>
      </c>
      <c r="AG42" s="19">
        <f t="shared" si="5"/>
        <v>5.9759999999999991</v>
      </c>
    </row>
    <row r="43" spans="2:33" x14ac:dyDescent="0.25">
      <c r="B43" s="236" t="s">
        <v>33</v>
      </c>
      <c r="C43" s="9"/>
      <c r="D43" s="159"/>
      <c r="E43" s="159"/>
      <c r="F43" s="10"/>
      <c r="G43" s="121"/>
      <c r="H43" s="9"/>
      <c r="I43" s="159"/>
      <c r="J43" s="159"/>
      <c r="K43" s="10"/>
      <c r="L43" s="128"/>
      <c r="M43" s="23" t="s">
        <v>50</v>
      </c>
      <c r="N43" s="159">
        <v>0</v>
      </c>
      <c r="O43" s="159">
        <v>1</v>
      </c>
      <c r="P43" s="10">
        <v>3.76</v>
      </c>
      <c r="Q43" s="121"/>
      <c r="R43" s="9"/>
      <c r="S43" s="159"/>
      <c r="T43" s="159"/>
      <c r="U43" s="10"/>
      <c r="V43" s="128"/>
      <c r="W43" s="259"/>
      <c r="X43" s="3"/>
      <c r="Y43" s="3"/>
      <c r="Z43" s="10"/>
      <c r="AA43" s="128"/>
      <c r="AB43" s="15">
        <f t="shared" si="1"/>
        <v>1</v>
      </c>
      <c r="AC43" s="27">
        <f t="shared" si="2"/>
        <v>0</v>
      </c>
      <c r="AD43" s="17">
        <f t="shared" si="0"/>
        <v>1</v>
      </c>
      <c r="AE43" s="27">
        <f t="shared" si="3"/>
        <v>1</v>
      </c>
      <c r="AF43" s="27">
        <f t="shared" si="4"/>
        <v>0</v>
      </c>
      <c r="AG43" s="19">
        <f t="shared" si="5"/>
        <v>3.76</v>
      </c>
    </row>
    <row r="44" spans="2:33" x14ac:dyDescent="0.25">
      <c r="B44" s="236" t="s">
        <v>34</v>
      </c>
      <c r="C44" s="9"/>
      <c r="D44" s="159"/>
      <c r="E44" s="159"/>
      <c r="F44" s="10"/>
      <c r="G44" s="121"/>
      <c r="H44" s="9"/>
      <c r="I44" s="159"/>
      <c r="J44" s="159"/>
      <c r="K44" s="10"/>
      <c r="L44" s="128"/>
      <c r="M44" s="23"/>
      <c r="N44" s="159"/>
      <c r="O44" s="159"/>
      <c r="P44" s="10"/>
      <c r="Q44" s="121"/>
      <c r="R44" s="9"/>
      <c r="S44" s="159"/>
      <c r="T44" s="159"/>
      <c r="U44" s="10"/>
      <c r="V44" s="128"/>
      <c r="W44" s="259"/>
      <c r="X44" s="3"/>
      <c r="Y44" s="3"/>
      <c r="Z44" s="10"/>
      <c r="AA44" s="128"/>
      <c r="AB44" s="15">
        <f t="shared" si="1"/>
        <v>0</v>
      </c>
      <c r="AC44" s="27">
        <f t="shared" si="2"/>
        <v>0</v>
      </c>
      <c r="AD44" s="17">
        <f t="shared" si="0"/>
        <v>0</v>
      </c>
      <c r="AE44" s="27">
        <f t="shared" si="3"/>
        <v>0</v>
      </c>
      <c r="AF44" s="27">
        <f t="shared" si="4"/>
        <v>0</v>
      </c>
      <c r="AG44" s="19" t="str">
        <f t="shared" si="5"/>
        <v>-</v>
      </c>
    </row>
    <row r="45" spans="2:33" x14ac:dyDescent="0.25">
      <c r="B45" s="236" t="s">
        <v>35</v>
      </c>
      <c r="C45" s="9" t="s">
        <v>50</v>
      </c>
      <c r="D45" s="159">
        <v>0</v>
      </c>
      <c r="E45" s="159">
        <v>0</v>
      </c>
      <c r="F45" s="10">
        <v>5.22</v>
      </c>
      <c r="G45" s="121"/>
      <c r="H45" s="9"/>
      <c r="I45" s="159"/>
      <c r="J45" s="159"/>
      <c r="K45" s="10"/>
      <c r="L45" s="128"/>
      <c r="M45" s="23" t="s">
        <v>50</v>
      </c>
      <c r="N45" s="159">
        <v>0</v>
      </c>
      <c r="O45" s="159">
        <v>2</v>
      </c>
      <c r="P45" s="10">
        <v>5.68</v>
      </c>
      <c r="Q45" s="121" t="s">
        <v>76</v>
      </c>
      <c r="R45" s="9" t="s">
        <v>50</v>
      </c>
      <c r="S45" s="159">
        <v>0</v>
      </c>
      <c r="T45" s="159">
        <v>0</v>
      </c>
      <c r="U45" s="10">
        <v>6</v>
      </c>
      <c r="V45" s="128" t="s">
        <v>76</v>
      </c>
      <c r="W45" s="259" t="s">
        <v>50</v>
      </c>
      <c r="X45" s="3">
        <v>2</v>
      </c>
      <c r="Y45" s="3">
        <v>1</v>
      </c>
      <c r="Z45" s="10">
        <v>5.4</v>
      </c>
      <c r="AA45" s="128"/>
      <c r="AB45" s="15">
        <f t="shared" si="1"/>
        <v>4</v>
      </c>
      <c r="AC45" s="27">
        <f t="shared" si="2"/>
        <v>2</v>
      </c>
      <c r="AD45" s="17">
        <f t="shared" si="0"/>
        <v>3</v>
      </c>
      <c r="AE45" s="27">
        <f t="shared" si="3"/>
        <v>5</v>
      </c>
      <c r="AF45" s="27">
        <f t="shared" si="4"/>
        <v>2</v>
      </c>
      <c r="AG45" s="19">
        <f t="shared" si="5"/>
        <v>5.5749999999999993</v>
      </c>
    </row>
    <row r="46" spans="2:33" x14ac:dyDescent="0.25">
      <c r="B46" s="236" t="s">
        <v>36</v>
      </c>
      <c r="C46" s="9"/>
      <c r="D46" s="159"/>
      <c r="E46" s="159"/>
      <c r="F46" s="10"/>
      <c r="G46" s="121"/>
      <c r="H46" s="9" t="s">
        <v>50</v>
      </c>
      <c r="I46" s="159">
        <v>0</v>
      </c>
      <c r="J46" s="159">
        <v>0</v>
      </c>
      <c r="K46" s="10">
        <v>6.08</v>
      </c>
      <c r="L46" s="128"/>
      <c r="M46" s="23" t="s">
        <v>50</v>
      </c>
      <c r="N46" s="159">
        <v>0</v>
      </c>
      <c r="O46" s="159">
        <v>0</v>
      </c>
      <c r="P46" s="10">
        <v>5.56</v>
      </c>
      <c r="Q46" s="121"/>
      <c r="R46" s="9"/>
      <c r="S46" s="159"/>
      <c r="T46" s="159"/>
      <c r="U46" s="10"/>
      <c r="V46" s="128"/>
      <c r="W46" s="259" t="s">
        <v>50</v>
      </c>
      <c r="X46" s="3">
        <v>0</v>
      </c>
      <c r="Y46" s="3">
        <v>0</v>
      </c>
      <c r="Z46" s="10">
        <v>6.4</v>
      </c>
      <c r="AA46" s="128"/>
      <c r="AB46" s="112">
        <f t="shared" si="1"/>
        <v>3</v>
      </c>
      <c r="AC46" s="27">
        <f t="shared" si="2"/>
        <v>0</v>
      </c>
      <c r="AD46" s="65">
        <f t="shared" si="0"/>
        <v>0</v>
      </c>
      <c r="AE46" s="65">
        <f t="shared" si="3"/>
        <v>0</v>
      </c>
      <c r="AF46" s="27">
        <f t="shared" si="4"/>
        <v>0</v>
      </c>
      <c r="AG46" s="69">
        <f t="shared" si="5"/>
        <v>6.0133333333333328</v>
      </c>
    </row>
    <row r="47" spans="2:33" ht="15.75" thickBot="1" x14ac:dyDescent="0.3">
      <c r="B47" s="236" t="s">
        <v>37</v>
      </c>
      <c r="C47" s="9" t="s">
        <v>50</v>
      </c>
      <c r="D47" s="159">
        <v>1</v>
      </c>
      <c r="E47" s="159">
        <v>1</v>
      </c>
      <c r="F47" s="10">
        <v>7.3</v>
      </c>
      <c r="G47" s="121" t="s">
        <v>76</v>
      </c>
      <c r="H47" s="9" t="s">
        <v>50</v>
      </c>
      <c r="I47" s="159">
        <v>0</v>
      </c>
      <c r="J47" s="159">
        <v>1</v>
      </c>
      <c r="K47" s="10">
        <v>7</v>
      </c>
      <c r="L47" s="128" t="s">
        <v>76</v>
      </c>
      <c r="M47" s="23" t="s">
        <v>50</v>
      </c>
      <c r="N47" s="159">
        <v>1</v>
      </c>
      <c r="O47" s="159">
        <v>1</v>
      </c>
      <c r="P47" s="10">
        <v>5.68</v>
      </c>
      <c r="Q47" s="121"/>
      <c r="R47" s="9" t="s">
        <v>50</v>
      </c>
      <c r="S47" s="159">
        <v>1</v>
      </c>
      <c r="T47" s="159">
        <v>0</v>
      </c>
      <c r="U47" s="10">
        <v>6</v>
      </c>
      <c r="V47" s="128"/>
      <c r="W47" s="259" t="s">
        <v>50</v>
      </c>
      <c r="X47" s="3">
        <v>1</v>
      </c>
      <c r="Y47" s="3">
        <v>0</v>
      </c>
      <c r="Z47" s="10">
        <v>5.26</v>
      </c>
      <c r="AA47" s="128"/>
      <c r="AB47" s="16">
        <f t="shared" ref="AB47" si="6">COUNTIF(C47:Z47,"P")</f>
        <v>5</v>
      </c>
      <c r="AC47" s="27">
        <f t="shared" si="2"/>
        <v>4</v>
      </c>
      <c r="AD47" s="18">
        <f t="shared" ref="AD47" si="7">SUM(E47,J47,O47,T47,Y47)</f>
        <v>3</v>
      </c>
      <c r="AE47" s="18">
        <f t="shared" ref="AE47" si="8">SUM(AC47+AD47)</f>
        <v>7</v>
      </c>
      <c r="AF47" s="27">
        <f t="shared" si="4"/>
        <v>2</v>
      </c>
      <c r="AG47" s="25">
        <f t="shared" ref="AG47" si="9">IFERROR(AVERAGE(F47,K47,P47,U47,Z47),"-")</f>
        <v>6.2480000000000002</v>
      </c>
    </row>
    <row r="48" spans="2:33" ht="15.75" thickBot="1" x14ac:dyDescent="0.3">
      <c r="B48" s="237" t="s">
        <v>85</v>
      </c>
      <c r="C48" s="9"/>
      <c r="D48" s="159"/>
      <c r="E48" s="159"/>
      <c r="F48" s="10"/>
      <c r="G48" s="121"/>
      <c r="H48" s="9"/>
      <c r="I48" s="159"/>
      <c r="J48" s="159"/>
      <c r="K48" s="10"/>
      <c r="L48" s="128"/>
      <c r="M48" s="23"/>
      <c r="N48" s="159"/>
      <c r="O48" s="159"/>
      <c r="P48" s="10"/>
      <c r="Q48" s="121"/>
      <c r="R48" s="9"/>
      <c r="S48" s="159"/>
      <c r="T48" s="159"/>
      <c r="U48" s="10"/>
      <c r="V48" s="128"/>
      <c r="W48" s="259"/>
      <c r="X48" s="3"/>
      <c r="Y48" s="3"/>
      <c r="Z48" s="10"/>
      <c r="AA48" s="128"/>
      <c r="AB48" s="16">
        <f t="shared" ref="AB48" si="10">COUNTIF(C48:Z48,"P")</f>
        <v>0</v>
      </c>
      <c r="AC48" s="27">
        <f t="shared" si="2"/>
        <v>0</v>
      </c>
      <c r="AD48" s="18">
        <f t="shared" ref="AD48" si="11">SUM(E48,J48,O48,T48,Y48)</f>
        <v>0</v>
      </c>
      <c r="AE48" s="18">
        <f t="shared" ref="AE48" si="12">SUM(AC48+AD48)</f>
        <v>0</v>
      </c>
      <c r="AF48" s="27">
        <f t="shared" si="4"/>
        <v>0</v>
      </c>
      <c r="AG48" s="25" t="str">
        <f t="shared" ref="AG48" si="13">IFERROR(AVERAGE(F48,K48,P48,U48,Z48),"-")</f>
        <v>-</v>
      </c>
    </row>
    <row r="49" spans="2:33" ht="15.75" thickBot="1" x14ac:dyDescent="0.3">
      <c r="B49" s="236" t="s">
        <v>38</v>
      </c>
      <c r="C49" s="107"/>
      <c r="D49" s="108"/>
      <c r="E49" s="108"/>
      <c r="F49" s="109"/>
      <c r="G49" s="122"/>
      <c r="H49" s="107"/>
      <c r="I49" s="108"/>
      <c r="J49" s="108"/>
      <c r="K49" s="109"/>
      <c r="L49" s="129"/>
      <c r="M49" s="245"/>
      <c r="N49" s="108"/>
      <c r="O49" s="108"/>
      <c r="P49" s="109"/>
      <c r="Q49" s="122"/>
      <c r="R49" s="107"/>
      <c r="S49" s="108"/>
      <c r="T49" s="108"/>
      <c r="U49" s="109"/>
      <c r="V49" s="129"/>
      <c r="W49" s="263"/>
      <c r="X49" s="113"/>
      <c r="Y49" s="113"/>
      <c r="Z49" s="109"/>
      <c r="AA49" s="129"/>
      <c r="AB49" s="16">
        <f t="shared" ref="AB49" si="14">COUNTIF(C49:Z49,"P")</f>
        <v>0</v>
      </c>
      <c r="AC49" s="27">
        <f t="shared" ref="AC49" si="15">SUM(D49,I49,N49,S49,X49)</f>
        <v>0</v>
      </c>
      <c r="AD49" s="18">
        <f t="shared" ref="AD49" si="16">SUM(E49,J49,O49,T49,Y49)</f>
        <v>0</v>
      </c>
      <c r="AE49" s="18">
        <f t="shared" ref="AE49" si="17">SUM(AC49+AD49)</f>
        <v>0</v>
      </c>
      <c r="AF49" s="27">
        <f t="shared" si="4"/>
        <v>0</v>
      </c>
      <c r="AG49" s="25" t="str">
        <f t="shared" ref="AG49" si="18">IFERROR(AVERAGE(F49,K49,P49,U49,Z49),"-")</f>
        <v>-</v>
      </c>
    </row>
    <row r="50" spans="2:33" ht="15.75" thickBot="1" x14ac:dyDescent="0.3">
      <c r="B50" s="236" t="s">
        <v>39</v>
      </c>
      <c r="C50" s="11" t="s">
        <v>50</v>
      </c>
      <c r="D50" s="12">
        <v>0</v>
      </c>
      <c r="E50" s="12">
        <v>1</v>
      </c>
      <c r="F50" s="13">
        <v>6.7</v>
      </c>
      <c r="G50" s="123" t="s">
        <v>76</v>
      </c>
      <c r="H50" s="11" t="s">
        <v>50</v>
      </c>
      <c r="I50" s="12">
        <v>1</v>
      </c>
      <c r="J50" s="12">
        <v>1</v>
      </c>
      <c r="K50" s="13">
        <v>5.42</v>
      </c>
      <c r="L50" s="127"/>
      <c r="M50" s="24"/>
      <c r="N50" s="12"/>
      <c r="O50" s="12"/>
      <c r="P50" s="13"/>
      <c r="Q50" s="123"/>
      <c r="R50" s="11" t="s">
        <v>50</v>
      </c>
      <c r="S50" s="12">
        <v>3</v>
      </c>
      <c r="T50" s="12">
        <v>1</v>
      </c>
      <c r="U50" s="13">
        <v>6.08</v>
      </c>
      <c r="V50" s="127"/>
      <c r="W50" s="261"/>
      <c r="X50" s="22"/>
      <c r="Y50" s="22"/>
      <c r="Z50" s="13"/>
      <c r="AA50" s="127"/>
      <c r="AB50" s="16">
        <f t="shared" ref="AB50" si="19">COUNTIF(C50:Z50,"P")</f>
        <v>3</v>
      </c>
      <c r="AC50" s="27">
        <f t="shared" ref="AC50" si="20">SUM(D50,I50,N50,S50,X50)</f>
        <v>4</v>
      </c>
      <c r="AD50" s="18">
        <f t="shared" ref="AD50" si="21">SUM(E50,J50,O50,T50,Y50)</f>
        <v>3</v>
      </c>
      <c r="AE50" s="18">
        <f t="shared" ref="AE50" si="22">SUM(AC50+AD50)</f>
        <v>7</v>
      </c>
      <c r="AF50" s="27">
        <f t="shared" ref="AF50" si="23">COUNTIF(G50:AA50,"F")</f>
        <v>1</v>
      </c>
      <c r="AG50" s="25">
        <f t="shared" ref="AG50" si="24">IFERROR(AVERAGE(F50,K50,P50,U50,Z50),"-")</f>
        <v>6.0666666666666673</v>
      </c>
    </row>
    <row r="51" spans="2:33" ht="15.75" thickBot="1" x14ac:dyDescent="0.3">
      <c r="B51" s="237" t="s">
        <v>80</v>
      </c>
      <c r="C51" s="11"/>
      <c r="D51" s="12"/>
      <c r="E51" s="12"/>
      <c r="F51" s="13"/>
      <c r="G51" s="123"/>
      <c r="H51" s="11"/>
      <c r="I51" s="12"/>
      <c r="J51" s="12"/>
      <c r="K51" s="13"/>
      <c r="L51" s="127"/>
      <c r="M51" s="24"/>
      <c r="N51" s="12"/>
      <c r="O51" s="12"/>
      <c r="P51" s="13"/>
      <c r="Q51" s="123"/>
      <c r="R51" s="11"/>
      <c r="S51" s="12"/>
      <c r="T51" s="12"/>
      <c r="U51" s="13"/>
      <c r="V51" s="127"/>
      <c r="W51" s="261"/>
      <c r="X51" s="22"/>
      <c r="Y51" s="22"/>
      <c r="Z51" s="13"/>
      <c r="AA51" s="127"/>
      <c r="AB51" s="16">
        <f t="shared" ref="AB51:AB52" si="25">COUNTIF(C51:Z51,"P")</f>
        <v>0</v>
      </c>
      <c r="AC51" s="27">
        <f t="shared" ref="AC51:AC52" si="26">SUM(D51,I51,N51,S51,X51)</f>
        <v>0</v>
      </c>
      <c r="AD51" s="18">
        <f t="shared" ref="AD51:AD52" si="27">SUM(E51,J51,O51,T51,Y51)</f>
        <v>0</v>
      </c>
      <c r="AE51" s="18">
        <f t="shared" ref="AE51:AE52" si="28">SUM(AC51+AD51)</f>
        <v>0</v>
      </c>
      <c r="AF51" s="27">
        <f t="shared" ref="AF51:AF52" si="29">COUNTIF(G51:AA51,"F")</f>
        <v>0</v>
      </c>
      <c r="AG51" s="25" t="str">
        <f t="shared" ref="AG51:AG52" si="30">IFERROR(AVERAGE(F51,K51,P51,U51,Z51),"-")</f>
        <v>-</v>
      </c>
    </row>
    <row r="52" spans="2:33" ht="15.75" thickBot="1" x14ac:dyDescent="0.3">
      <c r="B52" s="238" t="s">
        <v>81</v>
      </c>
      <c r="C52" s="11"/>
      <c r="D52" s="12"/>
      <c r="E52" s="12"/>
      <c r="F52" s="13"/>
      <c r="G52" s="123"/>
      <c r="H52" s="11"/>
      <c r="I52" s="12"/>
      <c r="J52" s="12"/>
      <c r="K52" s="13"/>
      <c r="L52" s="127"/>
      <c r="M52" s="24"/>
      <c r="N52" s="12"/>
      <c r="O52" s="12"/>
      <c r="P52" s="13"/>
      <c r="Q52" s="123"/>
      <c r="R52" s="11"/>
      <c r="S52" s="12"/>
      <c r="T52" s="12"/>
      <c r="U52" s="13"/>
      <c r="V52" s="127"/>
      <c r="W52" s="261"/>
      <c r="X52" s="22"/>
      <c r="Y52" s="22"/>
      <c r="Z52" s="13"/>
      <c r="AA52" s="127"/>
      <c r="AB52" s="16">
        <f t="shared" si="25"/>
        <v>0</v>
      </c>
      <c r="AC52" s="268">
        <f t="shared" si="26"/>
        <v>0</v>
      </c>
      <c r="AD52" s="18">
        <f t="shared" si="27"/>
        <v>0</v>
      </c>
      <c r="AE52" s="18">
        <f t="shared" si="28"/>
        <v>0</v>
      </c>
      <c r="AF52" s="268">
        <f t="shared" si="29"/>
        <v>0</v>
      </c>
      <c r="AG52" s="25" t="str">
        <f t="shared" si="30"/>
        <v>-</v>
      </c>
    </row>
    <row r="53" spans="2:33" x14ac:dyDescent="0.25">
      <c r="B53" s="93"/>
      <c r="C53" s="166"/>
      <c r="D53" s="166"/>
      <c r="E53" s="166"/>
      <c r="F53" s="167"/>
      <c r="G53" s="167"/>
      <c r="H53" s="166"/>
      <c r="I53" s="166"/>
      <c r="J53" s="166"/>
      <c r="K53" s="167"/>
      <c r="L53" s="167"/>
      <c r="M53" s="166"/>
      <c r="N53" s="166"/>
      <c r="O53" s="166"/>
      <c r="P53" s="167"/>
      <c r="Q53" s="167"/>
      <c r="R53" s="166"/>
      <c r="S53" s="166"/>
      <c r="T53" s="166"/>
      <c r="U53" s="167"/>
      <c r="V53" s="167"/>
      <c r="W53" s="167"/>
      <c r="X53" s="168"/>
      <c r="Y53" s="168"/>
      <c r="Z53" s="167"/>
      <c r="AA53" s="167"/>
    </row>
    <row r="54" spans="2:33" x14ac:dyDescent="0.25">
      <c r="B54" s="93"/>
      <c r="C54" s="166"/>
      <c r="D54" s="166"/>
      <c r="E54" s="166"/>
      <c r="F54" s="167"/>
      <c r="G54" s="167"/>
      <c r="H54" s="166"/>
      <c r="I54" s="166"/>
      <c r="J54" s="166"/>
      <c r="K54" s="167"/>
      <c r="L54" s="167"/>
      <c r="M54" s="166"/>
      <c r="N54" s="166"/>
      <c r="O54" s="166"/>
      <c r="P54" s="167"/>
      <c r="Q54" s="167"/>
      <c r="R54" s="166"/>
      <c r="S54" s="166"/>
      <c r="T54" s="166"/>
      <c r="U54" s="167"/>
      <c r="V54" s="167"/>
      <c r="W54" s="167"/>
      <c r="X54" s="168"/>
      <c r="Y54" s="168"/>
      <c r="Z54" s="167"/>
      <c r="AA54" s="167"/>
    </row>
    <row r="55" spans="2:33" x14ac:dyDescent="0.25">
      <c r="B55" s="93"/>
      <c r="C55" s="166"/>
      <c r="D55" s="166"/>
      <c r="E55" s="166"/>
      <c r="F55" s="167"/>
      <c r="G55" s="167"/>
      <c r="H55" s="166"/>
      <c r="I55" s="166"/>
      <c r="J55" s="166"/>
      <c r="K55" s="167"/>
      <c r="L55" s="167"/>
      <c r="M55" s="166"/>
      <c r="N55" s="166"/>
      <c r="O55" s="166"/>
      <c r="P55" s="167"/>
      <c r="Q55" s="167"/>
      <c r="R55" s="166"/>
      <c r="S55" s="166"/>
      <c r="T55" s="166"/>
      <c r="U55" s="167"/>
      <c r="V55" s="167"/>
      <c r="W55" s="167"/>
      <c r="X55" s="168"/>
      <c r="Y55" s="168"/>
      <c r="Z55" s="167"/>
      <c r="AA55" s="167"/>
    </row>
    <row r="56" spans="2:33" x14ac:dyDescent="0.25">
      <c r="B56" s="93"/>
      <c r="C56" s="166"/>
      <c r="D56" s="166"/>
      <c r="E56" s="166"/>
      <c r="F56" s="167"/>
      <c r="G56" s="167"/>
      <c r="H56" s="166"/>
      <c r="I56" s="166"/>
      <c r="J56" s="166"/>
      <c r="K56" s="167"/>
      <c r="L56" s="167"/>
      <c r="M56" s="166"/>
      <c r="N56" s="166"/>
      <c r="O56" s="166"/>
      <c r="P56" s="167"/>
      <c r="Q56" s="167"/>
      <c r="R56" s="166"/>
      <c r="S56" s="166"/>
      <c r="T56" s="166"/>
      <c r="U56" s="167"/>
      <c r="V56" s="167"/>
      <c r="W56" s="167"/>
      <c r="X56" s="168"/>
      <c r="Y56" s="168"/>
      <c r="Z56" s="167"/>
      <c r="AA56" s="167"/>
    </row>
    <row r="57" spans="2:33" x14ac:dyDescent="0.25">
      <c r="B57" s="93"/>
      <c r="C57" s="166"/>
      <c r="D57" s="166"/>
      <c r="E57" s="166"/>
      <c r="F57" s="167"/>
      <c r="G57" s="167"/>
      <c r="H57" s="166"/>
      <c r="I57" s="166"/>
      <c r="J57" s="166"/>
      <c r="K57" s="167"/>
      <c r="L57" s="167"/>
      <c r="M57" s="166"/>
      <c r="N57" s="166"/>
      <c r="O57" s="166"/>
      <c r="P57" s="167"/>
      <c r="Q57" s="167"/>
      <c r="R57" s="166"/>
      <c r="S57" s="166"/>
      <c r="T57" s="166"/>
      <c r="U57" s="167"/>
      <c r="V57" s="167"/>
      <c r="W57" s="167"/>
      <c r="X57" s="168"/>
      <c r="Y57" s="168"/>
      <c r="Z57" s="167"/>
      <c r="AA57" s="167"/>
    </row>
  </sheetData>
  <sortState xmlns:xlrd2="http://schemas.microsoft.com/office/spreadsheetml/2017/richdata2" ref="B5:AA57">
    <sortCondition ref="B5:B57"/>
  </sortState>
  <mergeCells count="12">
    <mergeCell ref="B1:AG2"/>
    <mergeCell ref="AG3:AG4"/>
    <mergeCell ref="B3:B4"/>
    <mergeCell ref="C3:F3"/>
    <mergeCell ref="H3:K3"/>
    <mergeCell ref="M3:P3"/>
    <mergeCell ref="R3:U3"/>
    <mergeCell ref="W3:Z3"/>
    <mergeCell ref="AB3:AB4"/>
    <mergeCell ref="AC3:AC4"/>
    <mergeCell ref="AD3:AD4"/>
    <mergeCell ref="AE3:AE4"/>
  </mergeCells>
  <conditionalFormatting sqref="AB5:AB52">
    <cfRule type="dataBar" priority="6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{BB205934-87A9-4DDA-8747-40E3E43BE60F}</x14:id>
        </ext>
      </extLst>
    </cfRule>
  </conditionalFormatting>
  <conditionalFormatting sqref="AC3:AC1048576">
    <cfRule type="top10" dxfId="96" priority="5" rank="1"/>
    <cfRule type="top10" dxfId="95" priority="8" rank="5"/>
  </conditionalFormatting>
  <conditionalFormatting sqref="AD3:AF3 AD4 AD5:AF1048576">
    <cfRule type="top10" dxfId="94" priority="4" rank="1"/>
    <cfRule type="top10" dxfId="93" priority="7" rank="5"/>
  </conditionalFormatting>
  <conditionalFormatting sqref="AG3:AG1048576">
    <cfRule type="top10" dxfId="92" priority="3" rank="1"/>
    <cfRule type="top10" dxfId="91" priority="6" rank="5"/>
  </conditionalFormatting>
  <pageMargins left="0.511811024" right="0.511811024" top="0.78740157499999996" bottom="0.78740157499999996" header="0.31496062000000002" footer="0.31496062000000002"/>
  <pageSetup paperSize="9" orientation="portrait" horizontalDpi="4294967292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B205934-87A9-4DDA-8747-40E3E43BE60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AB5:AB52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C2A7-1DE4-4C35-A864-00BA10610819}">
  <sheetPr codeName="Planilha7"/>
  <dimension ref="A1:AG57"/>
  <sheetViews>
    <sheetView showGridLines="0" topLeftCell="L1" zoomScale="80" zoomScaleNormal="80" workbookViewId="0">
      <pane ySplit="4" topLeftCell="A5" activePane="bottomLeft" state="frozen"/>
      <selection activeCell="B47" sqref="B47"/>
      <selection pane="bottomLeft" activeCell="B47" sqref="B47"/>
    </sheetView>
  </sheetViews>
  <sheetFormatPr defaultRowHeight="15" x14ac:dyDescent="0.25"/>
  <cols>
    <col min="1" max="1" width="7.140625" customWidth="1"/>
    <col min="2" max="2" width="28.42578125" style="6" customWidth="1"/>
    <col min="3" max="3" width="9.140625" customWidth="1"/>
    <col min="6" max="7" width="9.140625" style="5"/>
    <col min="11" max="12" width="9.140625" style="5"/>
    <col min="16" max="17" width="9.140625" style="5"/>
    <col min="21" max="27" width="9.140625" style="5"/>
    <col min="28" max="28" width="14.7109375" customWidth="1"/>
    <col min="29" max="29" width="14.5703125" style="2" customWidth="1"/>
    <col min="30" max="32" width="13.85546875" style="2" customWidth="1"/>
    <col min="33" max="33" width="13.5703125" style="5" customWidth="1"/>
  </cols>
  <sheetData>
    <row r="1" spans="1:33" ht="15" customHeight="1" x14ac:dyDescent="0.25">
      <c r="B1" s="271" t="s">
        <v>42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</row>
    <row r="2" spans="1:33" ht="15" customHeight="1" thickBot="1" x14ac:dyDescent="0.3">
      <c r="A2" s="1"/>
      <c r="B2" s="274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75"/>
      <c r="AC2" s="275"/>
      <c r="AD2" s="275"/>
      <c r="AE2" s="275"/>
      <c r="AF2" s="275"/>
      <c r="AG2" s="275"/>
    </row>
    <row r="3" spans="1:33" x14ac:dyDescent="0.25">
      <c r="B3" s="279" t="s">
        <v>0</v>
      </c>
      <c r="C3" s="285">
        <v>45783</v>
      </c>
      <c r="D3" s="286"/>
      <c r="E3" s="286"/>
      <c r="F3" s="307"/>
      <c r="G3" s="118"/>
      <c r="H3" s="287">
        <f>C3+7</f>
        <v>45790</v>
      </c>
      <c r="I3" s="288"/>
      <c r="J3" s="288"/>
      <c r="K3" s="289"/>
      <c r="L3" s="162"/>
      <c r="M3" s="290">
        <f>H3+7</f>
        <v>45797</v>
      </c>
      <c r="N3" s="290"/>
      <c r="O3" s="290"/>
      <c r="P3" s="290"/>
      <c r="Q3" s="119"/>
      <c r="R3" s="291">
        <f>M3+7</f>
        <v>45804</v>
      </c>
      <c r="S3" s="292"/>
      <c r="T3" s="292"/>
      <c r="U3" s="293"/>
      <c r="V3" s="163"/>
      <c r="W3" s="294" t="s">
        <v>41</v>
      </c>
      <c r="X3" s="294"/>
      <c r="Y3" s="294"/>
      <c r="Z3" s="295"/>
      <c r="AA3" s="124"/>
      <c r="AB3" s="279" t="s">
        <v>45</v>
      </c>
      <c r="AC3" s="281" t="s">
        <v>46</v>
      </c>
      <c r="AD3" s="281" t="s">
        <v>47</v>
      </c>
      <c r="AE3" s="281" t="s">
        <v>72</v>
      </c>
      <c r="AF3" s="160"/>
      <c r="AG3" s="299" t="s">
        <v>48</v>
      </c>
    </row>
    <row r="4" spans="1:33" ht="15.75" thickBot="1" x14ac:dyDescent="0.3">
      <c r="B4" s="280"/>
      <c r="C4" s="191" t="s">
        <v>49</v>
      </c>
      <c r="D4" s="192" t="s">
        <v>43</v>
      </c>
      <c r="E4" s="192" t="s">
        <v>2</v>
      </c>
      <c r="F4" s="194" t="s">
        <v>40</v>
      </c>
      <c r="G4" s="209"/>
      <c r="H4" s="195" t="s">
        <v>49</v>
      </c>
      <c r="I4" s="196" t="s">
        <v>43</v>
      </c>
      <c r="J4" s="196" t="s">
        <v>2</v>
      </c>
      <c r="K4" s="198" t="s">
        <v>40</v>
      </c>
      <c r="L4" s="248"/>
      <c r="M4" s="214" t="s">
        <v>49</v>
      </c>
      <c r="N4" s="199" t="s">
        <v>44</v>
      </c>
      <c r="O4" s="199" t="s">
        <v>2</v>
      </c>
      <c r="P4" s="215" t="s">
        <v>40</v>
      </c>
      <c r="Q4" s="210"/>
      <c r="R4" s="202" t="s">
        <v>49</v>
      </c>
      <c r="S4" s="203" t="s">
        <v>43</v>
      </c>
      <c r="T4" s="203" t="s">
        <v>2</v>
      </c>
      <c r="U4" s="205" t="s">
        <v>40</v>
      </c>
      <c r="V4" s="264"/>
      <c r="W4" s="262" t="s">
        <v>49</v>
      </c>
      <c r="X4" s="211" t="s">
        <v>43</v>
      </c>
      <c r="Y4" s="211" t="s">
        <v>2</v>
      </c>
      <c r="Z4" s="212" t="s">
        <v>40</v>
      </c>
      <c r="AA4" s="213"/>
      <c r="AB4" s="280"/>
      <c r="AC4" s="282"/>
      <c r="AD4" s="282"/>
      <c r="AE4" s="282"/>
      <c r="AF4" s="161"/>
      <c r="AG4" s="309"/>
    </row>
    <row r="5" spans="1:33" x14ac:dyDescent="0.25">
      <c r="B5" s="236" t="s">
        <v>3</v>
      </c>
      <c r="C5" s="165" t="s">
        <v>50</v>
      </c>
      <c r="D5" s="186">
        <v>2</v>
      </c>
      <c r="E5" s="186">
        <v>0</v>
      </c>
      <c r="F5" s="188">
        <v>5.38</v>
      </c>
      <c r="G5" s="233" t="s">
        <v>76</v>
      </c>
      <c r="H5" s="165" t="s">
        <v>50</v>
      </c>
      <c r="I5" s="186">
        <v>2</v>
      </c>
      <c r="J5" s="186">
        <v>0</v>
      </c>
      <c r="K5" s="188">
        <v>6.06</v>
      </c>
      <c r="L5" s="234"/>
      <c r="M5" s="235" t="s">
        <v>50</v>
      </c>
      <c r="N5" s="186">
        <v>0</v>
      </c>
      <c r="O5" s="186">
        <v>2</v>
      </c>
      <c r="P5" s="190">
        <v>6.62</v>
      </c>
      <c r="Q5" s="233"/>
      <c r="R5" s="165"/>
      <c r="S5" s="186"/>
      <c r="T5" s="186"/>
      <c r="U5" s="188"/>
      <c r="V5" s="234"/>
      <c r="W5" s="260" t="s">
        <v>41</v>
      </c>
      <c r="X5" s="224" t="s">
        <v>41</v>
      </c>
      <c r="Y5" s="224" t="s">
        <v>41</v>
      </c>
      <c r="Z5" s="188" t="s">
        <v>41</v>
      </c>
      <c r="AA5" s="234"/>
      <c r="AB5" s="66">
        <f>COUNTIF(C5:Z5,"P")</f>
        <v>3</v>
      </c>
      <c r="AC5" s="27">
        <f t="shared" ref="AC5:AC46" si="0">SUM(D5,I5,N5,S5,X5)</f>
        <v>4</v>
      </c>
      <c r="AD5" s="27">
        <f t="shared" ref="AD5:AD46" si="1">SUM(E5,J5,O5,T5,Y5)</f>
        <v>2</v>
      </c>
      <c r="AE5" s="27">
        <f>SUM(AC5+AD5)</f>
        <v>6</v>
      </c>
      <c r="AF5" s="27">
        <f>COUNTIF(G5:AA5,"F")</f>
        <v>1</v>
      </c>
      <c r="AG5" s="28">
        <f>IFERROR(AVERAGE(F5,K5,P5,U5,Z5),"-")</f>
        <v>6.02</v>
      </c>
    </row>
    <row r="6" spans="1:33" x14ac:dyDescent="0.25">
      <c r="B6" s="236" t="s">
        <v>4</v>
      </c>
      <c r="C6" s="9"/>
      <c r="D6" s="159"/>
      <c r="E6" s="159"/>
      <c r="F6" s="10"/>
      <c r="G6" s="121"/>
      <c r="H6" s="9"/>
      <c r="I6" s="159"/>
      <c r="J6" s="159"/>
      <c r="K6" s="10"/>
      <c r="L6" s="128"/>
      <c r="M6" s="23"/>
      <c r="N6" s="159"/>
      <c r="O6" s="159"/>
      <c r="P6" s="37"/>
      <c r="Q6" s="121"/>
      <c r="R6" s="9"/>
      <c r="S6" s="159"/>
      <c r="T6" s="159"/>
      <c r="U6" s="10"/>
      <c r="V6" s="128"/>
      <c r="W6" s="259" t="s">
        <v>41</v>
      </c>
      <c r="X6" s="4" t="s">
        <v>41</v>
      </c>
      <c r="Y6" s="4" t="s">
        <v>41</v>
      </c>
      <c r="Z6" s="10" t="s">
        <v>41</v>
      </c>
      <c r="AA6" s="125"/>
      <c r="AB6" s="26">
        <f t="shared" ref="AB6:AB46" si="2">COUNTIF(C6:Z6,"P")</f>
        <v>0</v>
      </c>
      <c r="AC6" s="17">
        <f t="shared" si="0"/>
        <v>0</v>
      </c>
      <c r="AD6" s="17">
        <f t="shared" si="1"/>
        <v>0</v>
      </c>
      <c r="AE6" s="27">
        <f t="shared" ref="AE6:AE46" si="3">SUM(AC6+AD6)</f>
        <v>0</v>
      </c>
      <c r="AF6" s="27">
        <f t="shared" ref="AF6:AF49" si="4">COUNTIF(G6:AA6,"F")</f>
        <v>0</v>
      </c>
      <c r="AG6" s="19" t="str">
        <f t="shared" ref="AG6:AG46" si="5">IFERROR(AVERAGE(F6,K6,P6,U6,Z6),"-")</f>
        <v>-</v>
      </c>
    </row>
    <row r="7" spans="1:33" x14ac:dyDescent="0.25">
      <c r="B7" s="236" t="s">
        <v>5</v>
      </c>
      <c r="C7" s="9"/>
      <c r="D7" s="159"/>
      <c r="E7" s="159"/>
      <c r="F7" s="10"/>
      <c r="G7" s="121"/>
      <c r="H7" s="9"/>
      <c r="I7" s="159"/>
      <c r="J7" s="159"/>
      <c r="K7" s="10"/>
      <c r="L7" s="128"/>
      <c r="M7" s="23"/>
      <c r="N7" s="159"/>
      <c r="O7" s="159"/>
      <c r="P7" s="37"/>
      <c r="Q7" s="121"/>
      <c r="R7" s="9"/>
      <c r="S7" s="159"/>
      <c r="T7" s="159"/>
      <c r="U7" s="10"/>
      <c r="V7" s="128"/>
      <c r="W7" s="259" t="s">
        <v>41</v>
      </c>
      <c r="X7" s="4" t="s">
        <v>41</v>
      </c>
      <c r="Y7" s="4" t="s">
        <v>41</v>
      </c>
      <c r="Z7" s="10" t="s">
        <v>41</v>
      </c>
      <c r="AA7" s="125"/>
      <c r="AB7" s="26">
        <f t="shared" si="2"/>
        <v>0</v>
      </c>
      <c r="AC7" s="17">
        <f t="shared" si="0"/>
        <v>0</v>
      </c>
      <c r="AD7" s="17">
        <f t="shared" si="1"/>
        <v>0</v>
      </c>
      <c r="AE7" s="27">
        <f t="shared" si="3"/>
        <v>0</v>
      </c>
      <c r="AF7" s="27">
        <f t="shared" si="4"/>
        <v>0</v>
      </c>
      <c r="AG7" s="19" t="str">
        <f t="shared" si="5"/>
        <v>-</v>
      </c>
    </row>
    <row r="8" spans="1:33" x14ac:dyDescent="0.25">
      <c r="B8" s="236" t="s">
        <v>74</v>
      </c>
      <c r="C8" s="9"/>
      <c r="D8" s="159"/>
      <c r="E8" s="159"/>
      <c r="F8" s="10"/>
      <c r="G8" s="121"/>
      <c r="H8" s="9"/>
      <c r="I8" s="159"/>
      <c r="J8" s="159"/>
      <c r="K8" s="10"/>
      <c r="L8" s="128"/>
      <c r="M8" s="23"/>
      <c r="N8" s="159"/>
      <c r="O8" s="159"/>
      <c r="P8" s="37"/>
      <c r="Q8" s="121"/>
      <c r="R8" s="9"/>
      <c r="S8" s="159"/>
      <c r="T8" s="159"/>
      <c r="U8" s="10"/>
      <c r="V8" s="128"/>
      <c r="W8" s="259" t="s">
        <v>41</v>
      </c>
      <c r="X8" s="4" t="s">
        <v>41</v>
      </c>
      <c r="Y8" s="4" t="s">
        <v>41</v>
      </c>
      <c r="Z8" s="10" t="s">
        <v>41</v>
      </c>
      <c r="AA8" s="125"/>
      <c r="AB8" s="26">
        <f t="shared" si="2"/>
        <v>0</v>
      </c>
      <c r="AC8" s="17">
        <f t="shared" si="0"/>
        <v>0</v>
      </c>
      <c r="AD8" s="17">
        <f t="shared" si="1"/>
        <v>0</v>
      </c>
      <c r="AE8" s="27">
        <f t="shared" si="3"/>
        <v>0</v>
      </c>
      <c r="AF8" s="27">
        <f t="shared" si="4"/>
        <v>0</v>
      </c>
      <c r="AG8" s="19" t="str">
        <f t="shared" si="5"/>
        <v>-</v>
      </c>
    </row>
    <row r="9" spans="1:33" x14ac:dyDescent="0.25">
      <c r="B9" s="236" t="s">
        <v>6</v>
      </c>
      <c r="C9" s="9" t="s">
        <v>50</v>
      </c>
      <c r="D9" s="159">
        <v>0</v>
      </c>
      <c r="E9" s="159">
        <v>0</v>
      </c>
      <c r="F9" s="10">
        <v>5.58</v>
      </c>
      <c r="G9" s="121" t="s">
        <v>76</v>
      </c>
      <c r="H9" s="9"/>
      <c r="I9" s="159"/>
      <c r="J9" s="159"/>
      <c r="K9" s="10"/>
      <c r="L9" s="128"/>
      <c r="M9" s="23"/>
      <c r="N9" s="159"/>
      <c r="O9" s="159"/>
      <c r="P9" s="37"/>
      <c r="Q9" s="121"/>
      <c r="R9" s="9"/>
      <c r="S9" s="159"/>
      <c r="T9" s="159"/>
      <c r="U9" s="10"/>
      <c r="V9" s="128"/>
      <c r="W9" s="259" t="s">
        <v>41</v>
      </c>
      <c r="X9" s="4" t="s">
        <v>41</v>
      </c>
      <c r="Y9" s="4" t="s">
        <v>41</v>
      </c>
      <c r="Z9" s="10" t="s">
        <v>41</v>
      </c>
      <c r="AA9" s="125"/>
      <c r="AB9" s="26">
        <f t="shared" si="2"/>
        <v>1</v>
      </c>
      <c r="AC9" s="17">
        <f t="shared" si="0"/>
        <v>0</v>
      </c>
      <c r="AD9" s="17">
        <f t="shared" si="1"/>
        <v>0</v>
      </c>
      <c r="AE9" s="27">
        <f t="shared" si="3"/>
        <v>0</v>
      </c>
      <c r="AF9" s="27">
        <f t="shared" si="4"/>
        <v>1</v>
      </c>
      <c r="AG9" s="19">
        <f t="shared" si="5"/>
        <v>5.58</v>
      </c>
    </row>
    <row r="10" spans="1:33" x14ac:dyDescent="0.25">
      <c r="B10" s="236" t="s">
        <v>7</v>
      </c>
      <c r="C10" s="9" t="s">
        <v>50</v>
      </c>
      <c r="D10" s="159">
        <v>0</v>
      </c>
      <c r="E10" s="159">
        <v>0</v>
      </c>
      <c r="F10" s="10">
        <v>6.72</v>
      </c>
      <c r="G10" s="121"/>
      <c r="H10" s="9" t="s">
        <v>50</v>
      </c>
      <c r="I10" s="159">
        <v>0</v>
      </c>
      <c r="J10" s="159">
        <v>0</v>
      </c>
      <c r="K10" s="10">
        <v>6.42</v>
      </c>
      <c r="L10" s="128" t="s">
        <v>76</v>
      </c>
      <c r="M10" s="23" t="s">
        <v>50</v>
      </c>
      <c r="N10" s="159">
        <v>0</v>
      </c>
      <c r="O10" s="159">
        <v>0</v>
      </c>
      <c r="P10" s="37">
        <v>3.34</v>
      </c>
      <c r="Q10" s="121"/>
      <c r="R10" s="9" t="s">
        <v>50</v>
      </c>
      <c r="S10" s="159">
        <v>0</v>
      </c>
      <c r="T10" s="159">
        <v>0</v>
      </c>
      <c r="U10" s="10">
        <v>3.48</v>
      </c>
      <c r="V10" s="128"/>
      <c r="W10" s="259" t="s">
        <v>41</v>
      </c>
      <c r="X10" s="4" t="s">
        <v>41</v>
      </c>
      <c r="Y10" s="4" t="s">
        <v>41</v>
      </c>
      <c r="Z10" s="10" t="s">
        <v>41</v>
      </c>
      <c r="AA10" s="125"/>
      <c r="AB10" s="26">
        <f t="shared" si="2"/>
        <v>4</v>
      </c>
      <c r="AC10" s="17">
        <f t="shared" si="0"/>
        <v>0</v>
      </c>
      <c r="AD10" s="17">
        <f t="shared" si="1"/>
        <v>0</v>
      </c>
      <c r="AE10" s="27">
        <f t="shared" si="3"/>
        <v>0</v>
      </c>
      <c r="AF10" s="27">
        <f t="shared" si="4"/>
        <v>1</v>
      </c>
      <c r="AG10" s="19">
        <f t="shared" si="5"/>
        <v>4.99</v>
      </c>
    </row>
    <row r="11" spans="1:33" x14ac:dyDescent="0.25">
      <c r="B11" s="236" t="s">
        <v>8</v>
      </c>
      <c r="C11" s="9"/>
      <c r="D11" s="159"/>
      <c r="E11" s="159"/>
      <c r="F11" s="10"/>
      <c r="G11" s="121"/>
      <c r="H11" s="9"/>
      <c r="I11" s="159"/>
      <c r="J11" s="159"/>
      <c r="K11" s="10"/>
      <c r="L11" s="128"/>
      <c r="M11" s="23"/>
      <c r="N11" s="159"/>
      <c r="O11" s="159"/>
      <c r="P11" s="37"/>
      <c r="Q11" s="121"/>
      <c r="R11" s="9"/>
      <c r="S11" s="159"/>
      <c r="T11" s="159"/>
      <c r="U11" s="10"/>
      <c r="V11" s="128"/>
      <c r="W11" s="259" t="s">
        <v>41</v>
      </c>
      <c r="X11" s="4" t="s">
        <v>41</v>
      </c>
      <c r="Y11" s="4" t="s">
        <v>41</v>
      </c>
      <c r="Z11" s="10" t="s">
        <v>41</v>
      </c>
      <c r="AA11" s="125"/>
      <c r="AB11" s="26">
        <f t="shared" si="2"/>
        <v>0</v>
      </c>
      <c r="AC11" s="17">
        <f t="shared" si="0"/>
        <v>0</v>
      </c>
      <c r="AD11" s="17">
        <f t="shared" si="1"/>
        <v>0</v>
      </c>
      <c r="AE11" s="27">
        <f t="shared" si="3"/>
        <v>0</v>
      </c>
      <c r="AF11" s="27">
        <f t="shared" si="4"/>
        <v>0</v>
      </c>
      <c r="AG11" s="19" t="str">
        <f t="shared" si="5"/>
        <v>-</v>
      </c>
    </row>
    <row r="12" spans="1:33" x14ac:dyDescent="0.25">
      <c r="B12" s="236" t="s">
        <v>9</v>
      </c>
      <c r="C12" s="9" t="s">
        <v>50</v>
      </c>
      <c r="D12" s="159">
        <v>6</v>
      </c>
      <c r="E12" s="159">
        <v>0</v>
      </c>
      <c r="F12" s="10">
        <v>7.36</v>
      </c>
      <c r="G12" s="121" t="s">
        <v>76</v>
      </c>
      <c r="H12" s="9" t="s">
        <v>50</v>
      </c>
      <c r="I12" s="159">
        <v>2</v>
      </c>
      <c r="J12" s="159">
        <v>1</v>
      </c>
      <c r="K12" s="10">
        <v>6.64</v>
      </c>
      <c r="L12" s="128" t="s">
        <v>76</v>
      </c>
      <c r="M12" s="23" t="s">
        <v>50</v>
      </c>
      <c r="N12" s="159">
        <v>2</v>
      </c>
      <c r="O12" s="159">
        <v>0</v>
      </c>
      <c r="P12" s="37">
        <v>6.04</v>
      </c>
      <c r="Q12" s="121"/>
      <c r="R12" s="9" t="s">
        <v>50</v>
      </c>
      <c r="S12" s="159">
        <v>2</v>
      </c>
      <c r="T12" s="159">
        <v>2</v>
      </c>
      <c r="U12" s="10">
        <v>6.97</v>
      </c>
      <c r="V12" s="128" t="s">
        <v>76</v>
      </c>
      <c r="W12" s="259" t="s">
        <v>41</v>
      </c>
      <c r="X12" s="4" t="s">
        <v>41</v>
      </c>
      <c r="Y12" s="4" t="s">
        <v>41</v>
      </c>
      <c r="Z12" s="10" t="s">
        <v>41</v>
      </c>
      <c r="AA12" s="125"/>
      <c r="AB12" s="26">
        <f t="shared" si="2"/>
        <v>4</v>
      </c>
      <c r="AC12" s="17">
        <f t="shared" si="0"/>
        <v>12</v>
      </c>
      <c r="AD12" s="17">
        <f t="shared" si="1"/>
        <v>3</v>
      </c>
      <c r="AE12" s="27">
        <f t="shared" si="3"/>
        <v>15</v>
      </c>
      <c r="AF12" s="27">
        <f t="shared" si="4"/>
        <v>3</v>
      </c>
      <c r="AG12" s="19">
        <f t="shared" si="5"/>
        <v>6.7524999999999995</v>
      </c>
    </row>
    <row r="13" spans="1:33" x14ac:dyDescent="0.25">
      <c r="B13" s="236" t="s">
        <v>10</v>
      </c>
      <c r="C13" s="9" t="s">
        <v>50</v>
      </c>
      <c r="D13" s="159">
        <v>0</v>
      </c>
      <c r="E13" s="159">
        <v>1</v>
      </c>
      <c r="F13" s="10">
        <v>4.4800000000000004</v>
      </c>
      <c r="G13" s="121"/>
      <c r="H13" s="9" t="s">
        <v>50</v>
      </c>
      <c r="I13" s="159">
        <v>0</v>
      </c>
      <c r="J13" s="159">
        <v>1</v>
      </c>
      <c r="K13" s="10">
        <v>5.64</v>
      </c>
      <c r="L13" s="128" t="s">
        <v>76</v>
      </c>
      <c r="M13" s="23" t="s">
        <v>50</v>
      </c>
      <c r="N13" s="159">
        <v>0</v>
      </c>
      <c r="O13" s="159">
        <v>2</v>
      </c>
      <c r="P13" s="37">
        <v>4.16</v>
      </c>
      <c r="Q13" s="121"/>
      <c r="R13" s="9" t="s">
        <v>50</v>
      </c>
      <c r="S13" s="159">
        <v>2</v>
      </c>
      <c r="T13" s="159">
        <v>0</v>
      </c>
      <c r="U13" s="10">
        <v>4.24</v>
      </c>
      <c r="V13" s="128"/>
      <c r="W13" s="259" t="s">
        <v>41</v>
      </c>
      <c r="X13" s="4" t="s">
        <v>41</v>
      </c>
      <c r="Y13" s="4" t="s">
        <v>41</v>
      </c>
      <c r="Z13" s="10" t="s">
        <v>41</v>
      </c>
      <c r="AA13" s="125"/>
      <c r="AB13" s="26">
        <f t="shared" si="2"/>
        <v>4</v>
      </c>
      <c r="AC13" s="17">
        <f t="shared" si="0"/>
        <v>2</v>
      </c>
      <c r="AD13" s="17">
        <f t="shared" si="1"/>
        <v>4</v>
      </c>
      <c r="AE13" s="27">
        <f t="shared" si="3"/>
        <v>6</v>
      </c>
      <c r="AF13" s="27">
        <f t="shared" si="4"/>
        <v>1</v>
      </c>
      <c r="AG13" s="19">
        <f t="shared" si="5"/>
        <v>4.6300000000000008</v>
      </c>
    </row>
    <row r="14" spans="1:33" x14ac:dyDescent="0.25">
      <c r="B14" s="236" t="s">
        <v>11</v>
      </c>
      <c r="C14" s="9" t="s">
        <v>50</v>
      </c>
      <c r="D14" s="159">
        <v>0</v>
      </c>
      <c r="E14" s="159">
        <v>0</v>
      </c>
      <c r="F14" s="10">
        <v>6.64</v>
      </c>
      <c r="G14" s="121"/>
      <c r="H14" s="9"/>
      <c r="I14" s="159"/>
      <c r="J14" s="159"/>
      <c r="K14" s="10"/>
      <c r="L14" s="128"/>
      <c r="M14" s="23"/>
      <c r="N14" s="159"/>
      <c r="O14" s="159"/>
      <c r="P14" s="37"/>
      <c r="Q14" s="121"/>
      <c r="R14" s="9"/>
      <c r="S14" s="159"/>
      <c r="T14" s="159"/>
      <c r="U14" s="10"/>
      <c r="V14" s="128"/>
      <c r="W14" s="259" t="s">
        <v>41</v>
      </c>
      <c r="X14" s="4" t="s">
        <v>41</v>
      </c>
      <c r="Y14" s="4" t="s">
        <v>41</v>
      </c>
      <c r="Z14" s="10" t="s">
        <v>41</v>
      </c>
      <c r="AA14" s="125"/>
      <c r="AB14" s="26">
        <f t="shared" si="2"/>
        <v>1</v>
      </c>
      <c r="AC14" s="17">
        <f t="shared" si="0"/>
        <v>0</v>
      </c>
      <c r="AD14" s="17">
        <f t="shared" si="1"/>
        <v>0</v>
      </c>
      <c r="AE14" s="27">
        <f t="shared" si="3"/>
        <v>0</v>
      </c>
      <c r="AF14" s="27">
        <f t="shared" si="4"/>
        <v>0</v>
      </c>
      <c r="AG14" s="19">
        <f t="shared" si="5"/>
        <v>6.64</v>
      </c>
    </row>
    <row r="15" spans="1:33" x14ac:dyDescent="0.25">
      <c r="B15" s="237" t="s">
        <v>83</v>
      </c>
      <c r="C15" s="9"/>
      <c r="D15" s="159"/>
      <c r="E15" s="159"/>
      <c r="F15" s="10"/>
      <c r="G15" s="121"/>
      <c r="H15" s="9"/>
      <c r="I15" s="159"/>
      <c r="J15" s="159"/>
      <c r="K15" s="10"/>
      <c r="L15" s="128"/>
      <c r="M15" s="23"/>
      <c r="N15" s="159"/>
      <c r="O15" s="159"/>
      <c r="P15" s="37"/>
      <c r="Q15" s="121"/>
      <c r="R15" s="9"/>
      <c r="S15" s="159"/>
      <c r="T15" s="159"/>
      <c r="U15" s="10"/>
      <c r="V15" s="128"/>
      <c r="W15" s="259"/>
      <c r="X15" s="4"/>
      <c r="Y15" s="4"/>
      <c r="Z15" s="10"/>
      <c r="AA15" s="125"/>
      <c r="AB15" s="26">
        <f t="shared" si="2"/>
        <v>0</v>
      </c>
      <c r="AC15" s="17">
        <f t="shared" si="0"/>
        <v>0</v>
      </c>
      <c r="AD15" s="17">
        <f t="shared" si="1"/>
        <v>0</v>
      </c>
      <c r="AE15" s="27">
        <f t="shared" si="3"/>
        <v>0</v>
      </c>
      <c r="AF15" s="27">
        <f t="shared" si="4"/>
        <v>0</v>
      </c>
      <c r="AG15" s="19" t="str">
        <f t="shared" si="5"/>
        <v>-</v>
      </c>
    </row>
    <row r="16" spans="1:33" x14ac:dyDescent="0.25">
      <c r="B16" s="236" t="s">
        <v>12</v>
      </c>
      <c r="C16" s="9" t="s">
        <v>50</v>
      </c>
      <c r="D16" s="159">
        <v>0</v>
      </c>
      <c r="E16" s="159">
        <v>0</v>
      </c>
      <c r="F16" s="10">
        <v>6.62</v>
      </c>
      <c r="G16" s="121" t="s">
        <v>76</v>
      </c>
      <c r="H16" s="9" t="s">
        <v>50</v>
      </c>
      <c r="I16" s="159">
        <v>0</v>
      </c>
      <c r="J16" s="159">
        <v>0</v>
      </c>
      <c r="K16" s="10">
        <v>6.82</v>
      </c>
      <c r="L16" s="128"/>
      <c r="M16" s="23" t="s">
        <v>50</v>
      </c>
      <c r="N16" s="159">
        <v>0</v>
      </c>
      <c r="O16" s="159">
        <v>0</v>
      </c>
      <c r="P16" s="37">
        <v>6.04</v>
      </c>
      <c r="Q16" s="121"/>
      <c r="R16" s="9" t="s">
        <v>50</v>
      </c>
      <c r="S16" s="159">
        <v>0</v>
      </c>
      <c r="T16" s="159">
        <v>0</v>
      </c>
      <c r="U16" s="10">
        <v>6.06</v>
      </c>
      <c r="V16" s="128" t="s">
        <v>76</v>
      </c>
      <c r="W16" s="259" t="s">
        <v>41</v>
      </c>
      <c r="X16" s="4" t="s">
        <v>41</v>
      </c>
      <c r="Y16" s="4" t="s">
        <v>41</v>
      </c>
      <c r="Z16" s="10" t="s">
        <v>41</v>
      </c>
      <c r="AA16" s="125"/>
      <c r="AB16" s="26">
        <f t="shared" si="2"/>
        <v>4</v>
      </c>
      <c r="AC16" s="17">
        <f t="shared" si="0"/>
        <v>0</v>
      </c>
      <c r="AD16" s="17">
        <f t="shared" si="1"/>
        <v>0</v>
      </c>
      <c r="AE16" s="27">
        <f t="shared" si="3"/>
        <v>0</v>
      </c>
      <c r="AF16" s="27">
        <f t="shared" si="4"/>
        <v>2</v>
      </c>
      <c r="AG16" s="19">
        <f t="shared" si="5"/>
        <v>6.3849999999999998</v>
      </c>
    </row>
    <row r="17" spans="2:33" ht="15.75" thickBot="1" x14ac:dyDescent="0.3">
      <c r="B17" s="236" t="s">
        <v>56</v>
      </c>
      <c r="C17" s="9"/>
      <c r="D17" s="159"/>
      <c r="E17" s="159"/>
      <c r="F17" s="10"/>
      <c r="G17" s="121"/>
      <c r="H17" s="9"/>
      <c r="I17" s="159"/>
      <c r="J17" s="159"/>
      <c r="K17" s="10"/>
      <c r="L17" s="128"/>
      <c r="M17" s="23" t="s">
        <v>50</v>
      </c>
      <c r="N17" s="159">
        <v>0</v>
      </c>
      <c r="O17" s="159">
        <v>0</v>
      </c>
      <c r="P17" s="37">
        <v>5.68</v>
      </c>
      <c r="Q17" s="121"/>
      <c r="R17" s="9"/>
      <c r="S17" s="159"/>
      <c r="T17" s="159"/>
      <c r="U17" s="10"/>
      <c r="V17" s="128"/>
      <c r="W17" s="259" t="s">
        <v>41</v>
      </c>
      <c r="X17" s="4" t="s">
        <v>41</v>
      </c>
      <c r="Y17" s="4" t="s">
        <v>41</v>
      </c>
      <c r="Z17" s="10" t="s">
        <v>41</v>
      </c>
      <c r="AA17" s="125"/>
      <c r="AB17" s="26">
        <f t="shared" si="2"/>
        <v>1</v>
      </c>
      <c r="AC17" s="65">
        <f t="shared" si="0"/>
        <v>0</v>
      </c>
      <c r="AD17" s="65">
        <f t="shared" si="1"/>
        <v>0</v>
      </c>
      <c r="AE17" s="27">
        <f t="shared" si="3"/>
        <v>0</v>
      </c>
      <c r="AF17" s="27">
        <f t="shared" si="4"/>
        <v>0</v>
      </c>
      <c r="AG17" s="69">
        <f t="shared" si="5"/>
        <v>5.68</v>
      </c>
    </row>
    <row r="18" spans="2:33" x14ac:dyDescent="0.25">
      <c r="B18" s="236" t="s">
        <v>13</v>
      </c>
      <c r="C18" s="9"/>
      <c r="D18" s="159"/>
      <c r="E18" s="159"/>
      <c r="F18" s="10"/>
      <c r="G18" s="121"/>
      <c r="H18" s="9"/>
      <c r="I18" s="159"/>
      <c r="J18" s="159"/>
      <c r="K18" s="10"/>
      <c r="L18" s="128"/>
      <c r="M18" s="23"/>
      <c r="N18" s="159"/>
      <c r="O18" s="159"/>
      <c r="P18" s="37"/>
      <c r="Q18" s="121"/>
      <c r="R18" s="9"/>
      <c r="S18" s="159"/>
      <c r="T18" s="159"/>
      <c r="U18" s="10"/>
      <c r="V18" s="128"/>
      <c r="W18" s="259" t="s">
        <v>41</v>
      </c>
      <c r="X18" s="4" t="s">
        <v>41</v>
      </c>
      <c r="Y18" s="4" t="s">
        <v>41</v>
      </c>
      <c r="Z18" s="10" t="s">
        <v>41</v>
      </c>
      <c r="AA18" s="125"/>
      <c r="AB18" s="26">
        <f t="shared" si="2"/>
        <v>0</v>
      </c>
      <c r="AC18" s="67">
        <f t="shared" si="0"/>
        <v>0</v>
      </c>
      <c r="AD18" s="67">
        <f t="shared" si="1"/>
        <v>0</v>
      </c>
      <c r="AE18" s="27">
        <f t="shared" si="3"/>
        <v>0</v>
      </c>
      <c r="AF18" s="27">
        <f t="shared" si="4"/>
        <v>0</v>
      </c>
      <c r="AG18" s="68" t="str">
        <f t="shared" si="5"/>
        <v>-</v>
      </c>
    </row>
    <row r="19" spans="2:33" x14ac:dyDescent="0.25">
      <c r="B19" s="236" t="s">
        <v>14</v>
      </c>
      <c r="C19" s="9"/>
      <c r="D19" s="159"/>
      <c r="E19" s="159"/>
      <c r="F19" s="10"/>
      <c r="G19" s="121"/>
      <c r="H19" s="9"/>
      <c r="I19" s="159"/>
      <c r="J19" s="159"/>
      <c r="K19" s="10"/>
      <c r="L19" s="128"/>
      <c r="M19" s="23" t="s">
        <v>50</v>
      </c>
      <c r="N19" s="159">
        <v>4</v>
      </c>
      <c r="O19" s="159">
        <v>2</v>
      </c>
      <c r="P19" s="37">
        <v>7.46</v>
      </c>
      <c r="Q19" s="121" t="s">
        <v>76</v>
      </c>
      <c r="R19" s="9" t="s">
        <v>50</v>
      </c>
      <c r="S19" s="159">
        <v>2</v>
      </c>
      <c r="T19" s="159">
        <v>1</v>
      </c>
      <c r="U19" s="10">
        <v>5.88</v>
      </c>
      <c r="V19" s="128"/>
      <c r="W19" s="259" t="s">
        <v>41</v>
      </c>
      <c r="X19" s="4" t="s">
        <v>41</v>
      </c>
      <c r="Y19" s="4" t="s">
        <v>41</v>
      </c>
      <c r="Z19" s="10" t="s">
        <v>41</v>
      </c>
      <c r="AA19" s="125"/>
      <c r="AB19" s="26">
        <f t="shared" si="2"/>
        <v>2</v>
      </c>
      <c r="AC19" s="17">
        <f t="shared" si="0"/>
        <v>6</v>
      </c>
      <c r="AD19" s="17">
        <f t="shared" si="1"/>
        <v>3</v>
      </c>
      <c r="AE19" s="27">
        <f t="shared" si="3"/>
        <v>9</v>
      </c>
      <c r="AF19" s="27">
        <f t="shared" si="4"/>
        <v>1</v>
      </c>
      <c r="AG19" s="19">
        <f t="shared" si="5"/>
        <v>6.67</v>
      </c>
    </row>
    <row r="20" spans="2:33" x14ac:dyDescent="0.25">
      <c r="B20" s="237" t="s">
        <v>86</v>
      </c>
      <c r="C20" s="9"/>
      <c r="D20" s="159"/>
      <c r="E20" s="159"/>
      <c r="F20" s="10"/>
      <c r="G20" s="121"/>
      <c r="H20" s="9"/>
      <c r="I20" s="159"/>
      <c r="J20" s="159"/>
      <c r="K20" s="10"/>
      <c r="L20" s="128"/>
      <c r="M20" s="23"/>
      <c r="N20" s="159"/>
      <c r="O20" s="159"/>
      <c r="P20" s="37"/>
      <c r="Q20" s="121"/>
      <c r="R20" s="9"/>
      <c r="S20" s="159"/>
      <c r="T20" s="159"/>
      <c r="U20" s="10"/>
      <c r="V20" s="128"/>
      <c r="W20" s="259"/>
      <c r="X20" s="4"/>
      <c r="Y20" s="4"/>
      <c r="Z20" s="10"/>
      <c r="AA20" s="125"/>
      <c r="AB20" s="26">
        <f t="shared" si="2"/>
        <v>0</v>
      </c>
      <c r="AC20" s="17">
        <f t="shared" si="0"/>
        <v>0</v>
      </c>
      <c r="AD20" s="17">
        <f t="shared" si="1"/>
        <v>0</v>
      </c>
      <c r="AE20" s="27">
        <f t="shared" si="3"/>
        <v>0</v>
      </c>
      <c r="AF20" s="27">
        <f t="shared" si="4"/>
        <v>0</v>
      </c>
      <c r="AG20" s="19" t="str">
        <f t="shared" si="5"/>
        <v>-</v>
      </c>
    </row>
    <row r="21" spans="2:33" x14ac:dyDescent="0.25">
      <c r="B21" s="236" t="s">
        <v>15</v>
      </c>
      <c r="C21" s="9" t="s">
        <v>50</v>
      </c>
      <c r="D21" s="159">
        <v>0</v>
      </c>
      <c r="E21" s="159">
        <v>0</v>
      </c>
      <c r="F21" s="10">
        <v>5.28</v>
      </c>
      <c r="G21" s="121" t="s">
        <v>76</v>
      </c>
      <c r="H21" s="9" t="s">
        <v>50</v>
      </c>
      <c r="I21" s="159">
        <v>0</v>
      </c>
      <c r="J21" s="159">
        <v>0</v>
      </c>
      <c r="K21" s="10">
        <v>5.5</v>
      </c>
      <c r="L21" s="128"/>
      <c r="M21" s="23" t="s">
        <v>50</v>
      </c>
      <c r="N21" s="159">
        <v>2</v>
      </c>
      <c r="O21" s="159">
        <v>0</v>
      </c>
      <c r="P21" s="37">
        <v>5.66</v>
      </c>
      <c r="Q21" s="121"/>
      <c r="R21" s="9" t="s">
        <v>50</v>
      </c>
      <c r="S21" s="159">
        <v>1</v>
      </c>
      <c r="T21" s="159">
        <v>1</v>
      </c>
      <c r="U21" s="10">
        <v>5.62</v>
      </c>
      <c r="V21" s="128" t="s">
        <v>76</v>
      </c>
      <c r="W21" s="259" t="s">
        <v>41</v>
      </c>
      <c r="X21" s="4" t="s">
        <v>41</v>
      </c>
      <c r="Y21" s="4" t="s">
        <v>41</v>
      </c>
      <c r="Z21" s="10" t="s">
        <v>41</v>
      </c>
      <c r="AA21" s="125"/>
      <c r="AB21" s="26">
        <f t="shared" si="2"/>
        <v>4</v>
      </c>
      <c r="AC21" s="17">
        <f t="shared" si="0"/>
        <v>3</v>
      </c>
      <c r="AD21" s="17">
        <f t="shared" si="1"/>
        <v>1</v>
      </c>
      <c r="AE21" s="27">
        <f t="shared" si="3"/>
        <v>4</v>
      </c>
      <c r="AF21" s="27">
        <f t="shared" si="4"/>
        <v>2</v>
      </c>
      <c r="AG21" s="19">
        <f t="shared" si="5"/>
        <v>5.5150000000000006</v>
      </c>
    </row>
    <row r="22" spans="2:33" x14ac:dyDescent="0.25">
      <c r="B22" s="236" t="s">
        <v>16</v>
      </c>
      <c r="C22" s="9" t="s">
        <v>50</v>
      </c>
      <c r="D22" s="159">
        <v>2</v>
      </c>
      <c r="E22" s="159">
        <v>2</v>
      </c>
      <c r="F22" s="10">
        <v>4.6399999999999997</v>
      </c>
      <c r="G22" s="121"/>
      <c r="H22" s="9" t="s">
        <v>50</v>
      </c>
      <c r="I22" s="159">
        <v>2</v>
      </c>
      <c r="J22" s="159">
        <v>2</v>
      </c>
      <c r="K22" s="10">
        <v>4.82</v>
      </c>
      <c r="L22" s="128"/>
      <c r="M22" s="23" t="s">
        <v>50</v>
      </c>
      <c r="N22" s="159">
        <v>3</v>
      </c>
      <c r="O22" s="159">
        <v>1</v>
      </c>
      <c r="P22" s="37">
        <v>4.76</v>
      </c>
      <c r="Q22" s="121"/>
      <c r="R22" s="9" t="s">
        <v>50</v>
      </c>
      <c r="S22" s="159">
        <v>2</v>
      </c>
      <c r="T22" s="159">
        <v>3</v>
      </c>
      <c r="U22" s="10">
        <v>5.56</v>
      </c>
      <c r="V22" s="128" t="s">
        <v>76</v>
      </c>
      <c r="W22" s="259" t="s">
        <v>41</v>
      </c>
      <c r="X22" s="4" t="s">
        <v>41</v>
      </c>
      <c r="Y22" s="4" t="s">
        <v>41</v>
      </c>
      <c r="Z22" s="10" t="s">
        <v>41</v>
      </c>
      <c r="AA22" s="125"/>
      <c r="AB22" s="26">
        <f t="shared" si="2"/>
        <v>4</v>
      </c>
      <c r="AC22" s="17">
        <f t="shared" si="0"/>
        <v>9</v>
      </c>
      <c r="AD22" s="17">
        <f t="shared" si="1"/>
        <v>8</v>
      </c>
      <c r="AE22" s="27">
        <f t="shared" si="3"/>
        <v>17</v>
      </c>
      <c r="AF22" s="27">
        <f t="shared" si="4"/>
        <v>1</v>
      </c>
      <c r="AG22" s="19">
        <f t="shared" si="5"/>
        <v>4.9450000000000003</v>
      </c>
    </row>
    <row r="23" spans="2:33" x14ac:dyDescent="0.25">
      <c r="B23" s="236" t="s">
        <v>17</v>
      </c>
      <c r="C23" s="9" t="s">
        <v>50</v>
      </c>
      <c r="D23" s="159">
        <v>5</v>
      </c>
      <c r="E23" s="159">
        <v>3</v>
      </c>
      <c r="F23" s="10">
        <v>7.42</v>
      </c>
      <c r="G23" s="121"/>
      <c r="H23" s="9" t="s">
        <v>50</v>
      </c>
      <c r="I23" s="159">
        <v>1</v>
      </c>
      <c r="J23" s="159">
        <v>1</v>
      </c>
      <c r="K23" s="10">
        <v>5.42</v>
      </c>
      <c r="L23" s="128"/>
      <c r="M23" s="23" t="s">
        <v>50</v>
      </c>
      <c r="N23" s="159">
        <v>2</v>
      </c>
      <c r="O23" s="159">
        <v>0</v>
      </c>
      <c r="P23" s="37">
        <v>4.62</v>
      </c>
      <c r="Q23" s="121"/>
      <c r="R23" s="9" t="s">
        <v>50</v>
      </c>
      <c r="S23" s="159">
        <v>2</v>
      </c>
      <c r="T23" s="159">
        <v>0</v>
      </c>
      <c r="U23" s="10">
        <v>4.7</v>
      </c>
      <c r="V23" s="128"/>
      <c r="W23" s="259" t="s">
        <v>41</v>
      </c>
      <c r="X23" s="4" t="s">
        <v>41</v>
      </c>
      <c r="Y23" s="4" t="s">
        <v>41</v>
      </c>
      <c r="Z23" s="10" t="s">
        <v>41</v>
      </c>
      <c r="AA23" s="125"/>
      <c r="AB23" s="26">
        <f t="shared" si="2"/>
        <v>4</v>
      </c>
      <c r="AC23" s="17">
        <f t="shared" si="0"/>
        <v>10</v>
      </c>
      <c r="AD23" s="17">
        <f t="shared" si="1"/>
        <v>4</v>
      </c>
      <c r="AE23" s="27">
        <f t="shared" si="3"/>
        <v>14</v>
      </c>
      <c r="AF23" s="27">
        <f t="shared" si="4"/>
        <v>0</v>
      </c>
      <c r="AG23" s="19">
        <f t="shared" si="5"/>
        <v>5.54</v>
      </c>
    </row>
    <row r="24" spans="2:33" x14ac:dyDescent="0.25">
      <c r="B24" s="236" t="s">
        <v>18</v>
      </c>
      <c r="C24" s="9"/>
      <c r="D24" s="159"/>
      <c r="E24" s="159"/>
      <c r="F24" s="10"/>
      <c r="G24" s="121"/>
      <c r="H24" s="9"/>
      <c r="I24" s="159"/>
      <c r="J24" s="159"/>
      <c r="K24" s="10"/>
      <c r="L24" s="128"/>
      <c r="M24" s="23"/>
      <c r="N24" s="159"/>
      <c r="O24" s="159"/>
      <c r="P24" s="37"/>
      <c r="Q24" s="121"/>
      <c r="R24" s="9"/>
      <c r="S24" s="159"/>
      <c r="T24" s="159"/>
      <c r="U24" s="10"/>
      <c r="V24" s="128"/>
      <c r="W24" s="259" t="s">
        <v>41</v>
      </c>
      <c r="X24" s="4" t="s">
        <v>41</v>
      </c>
      <c r="Y24" s="4" t="s">
        <v>41</v>
      </c>
      <c r="Z24" s="10" t="s">
        <v>41</v>
      </c>
      <c r="AA24" s="125"/>
      <c r="AB24" s="26">
        <f t="shared" si="2"/>
        <v>0</v>
      </c>
      <c r="AC24" s="17">
        <f t="shared" si="0"/>
        <v>0</v>
      </c>
      <c r="AD24" s="17">
        <f t="shared" si="1"/>
        <v>0</v>
      </c>
      <c r="AE24" s="27">
        <f t="shared" si="3"/>
        <v>0</v>
      </c>
      <c r="AF24" s="27">
        <f t="shared" si="4"/>
        <v>0</v>
      </c>
      <c r="AG24" s="19" t="str">
        <f t="shared" si="5"/>
        <v>-</v>
      </c>
    </row>
    <row r="25" spans="2:33" x14ac:dyDescent="0.25">
      <c r="B25" s="236" t="s">
        <v>19</v>
      </c>
      <c r="C25" s="9" t="s">
        <v>50</v>
      </c>
      <c r="D25" s="159">
        <v>3</v>
      </c>
      <c r="E25" s="159">
        <v>1</v>
      </c>
      <c r="F25" s="10">
        <v>5.72</v>
      </c>
      <c r="G25" s="121" t="s">
        <v>76</v>
      </c>
      <c r="H25" s="9" t="s">
        <v>50</v>
      </c>
      <c r="I25" s="159">
        <v>1</v>
      </c>
      <c r="J25" s="159">
        <v>0</v>
      </c>
      <c r="K25" s="10">
        <v>5.88</v>
      </c>
      <c r="L25" s="128" t="s">
        <v>76</v>
      </c>
      <c r="M25" s="23" t="s">
        <v>50</v>
      </c>
      <c r="N25" s="159">
        <v>1</v>
      </c>
      <c r="O25" s="159">
        <v>1</v>
      </c>
      <c r="P25" s="37">
        <v>5.84</v>
      </c>
      <c r="Q25" s="121" t="s">
        <v>76</v>
      </c>
      <c r="R25" s="9" t="s">
        <v>50</v>
      </c>
      <c r="S25" s="159">
        <v>0</v>
      </c>
      <c r="T25" s="159">
        <v>1</v>
      </c>
      <c r="U25" s="10">
        <v>3.88</v>
      </c>
      <c r="V25" s="128"/>
      <c r="W25" s="259" t="s">
        <v>41</v>
      </c>
      <c r="X25" s="4" t="s">
        <v>41</v>
      </c>
      <c r="Y25" s="4" t="s">
        <v>41</v>
      </c>
      <c r="Z25" s="10" t="s">
        <v>41</v>
      </c>
      <c r="AA25" s="125"/>
      <c r="AB25" s="26">
        <f t="shared" si="2"/>
        <v>4</v>
      </c>
      <c r="AC25" s="17">
        <f t="shared" si="0"/>
        <v>5</v>
      </c>
      <c r="AD25" s="17">
        <f t="shared" si="1"/>
        <v>3</v>
      </c>
      <c r="AE25" s="27">
        <f t="shared" si="3"/>
        <v>8</v>
      </c>
      <c r="AF25" s="27">
        <f t="shared" si="4"/>
        <v>3</v>
      </c>
      <c r="AG25" s="19">
        <f t="shared" si="5"/>
        <v>5.3299999999999992</v>
      </c>
    </row>
    <row r="26" spans="2:33" x14ac:dyDescent="0.25">
      <c r="B26" s="236" t="s">
        <v>79</v>
      </c>
      <c r="C26" s="9"/>
      <c r="D26" s="159"/>
      <c r="E26" s="159"/>
      <c r="F26" s="10"/>
      <c r="G26" s="121"/>
      <c r="H26" s="9"/>
      <c r="I26" s="159"/>
      <c r="J26" s="159"/>
      <c r="K26" s="10"/>
      <c r="L26" s="128"/>
      <c r="M26" s="23"/>
      <c r="N26" s="159"/>
      <c r="O26" s="159"/>
      <c r="P26" s="37"/>
      <c r="Q26" s="121"/>
      <c r="R26" s="9"/>
      <c r="S26" s="159"/>
      <c r="T26" s="159"/>
      <c r="U26" s="10"/>
      <c r="V26" s="128"/>
      <c r="W26" s="259" t="s">
        <v>41</v>
      </c>
      <c r="X26" s="4" t="s">
        <v>41</v>
      </c>
      <c r="Y26" s="4" t="s">
        <v>41</v>
      </c>
      <c r="Z26" s="10" t="s">
        <v>41</v>
      </c>
      <c r="AA26" s="125"/>
      <c r="AB26" s="26">
        <f t="shared" si="2"/>
        <v>0</v>
      </c>
      <c r="AC26" s="17">
        <f t="shared" si="0"/>
        <v>0</v>
      </c>
      <c r="AD26" s="17">
        <f t="shared" si="1"/>
        <v>0</v>
      </c>
      <c r="AE26" s="27">
        <f t="shared" si="3"/>
        <v>0</v>
      </c>
      <c r="AF26" s="27">
        <f t="shared" si="4"/>
        <v>0</v>
      </c>
      <c r="AG26" s="19" t="str">
        <f t="shared" si="5"/>
        <v>-</v>
      </c>
    </row>
    <row r="27" spans="2:33" x14ac:dyDescent="0.25">
      <c r="B27" s="236" t="s">
        <v>20</v>
      </c>
      <c r="C27" s="9"/>
      <c r="D27" s="159"/>
      <c r="E27" s="159"/>
      <c r="F27" s="10"/>
      <c r="G27" s="121"/>
      <c r="H27" s="9" t="s">
        <v>50</v>
      </c>
      <c r="I27" s="159">
        <v>1</v>
      </c>
      <c r="J27" s="159">
        <v>1</v>
      </c>
      <c r="K27" s="10">
        <v>4.6399999999999997</v>
      </c>
      <c r="L27" s="128"/>
      <c r="M27" s="23" t="s">
        <v>50</v>
      </c>
      <c r="N27" s="159">
        <v>1</v>
      </c>
      <c r="O27" s="159">
        <v>0</v>
      </c>
      <c r="P27" s="37">
        <v>4.92</v>
      </c>
      <c r="Q27" s="121"/>
      <c r="R27" s="9" t="s">
        <v>50</v>
      </c>
      <c r="S27" s="159">
        <v>2</v>
      </c>
      <c r="T27" s="159">
        <v>2</v>
      </c>
      <c r="U27" s="10">
        <v>5.3</v>
      </c>
      <c r="V27" s="128"/>
      <c r="W27" s="259" t="s">
        <v>41</v>
      </c>
      <c r="X27" s="4" t="s">
        <v>41</v>
      </c>
      <c r="Y27" s="4" t="s">
        <v>41</v>
      </c>
      <c r="Z27" s="10" t="s">
        <v>41</v>
      </c>
      <c r="AA27" s="125"/>
      <c r="AB27" s="26">
        <f t="shared" si="2"/>
        <v>3</v>
      </c>
      <c r="AC27" s="17">
        <f t="shared" si="0"/>
        <v>4</v>
      </c>
      <c r="AD27" s="17">
        <f t="shared" si="1"/>
        <v>3</v>
      </c>
      <c r="AE27" s="27">
        <f t="shared" si="3"/>
        <v>7</v>
      </c>
      <c r="AF27" s="27">
        <f t="shared" si="4"/>
        <v>0</v>
      </c>
      <c r="AG27" s="19">
        <f t="shared" si="5"/>
        <v>4.9533333333333331</v>
      </c>
    </row>
    <row r="28" spans="2:33" x14ac:dyDescent="0.25">
      <c r="B28" s="237" t="s">
        <v>82</v>
      </c>
      <c r="C28" s="9"/>
      <c r="D28" s="159"/>
      <c r="E28" s="159"/>
      <c r="F28" s="10"/>
      <c r="G28" s="121"/>
      <c r="H28" s="9"/>
      <c r="I28" s="159"/>
      <c r="J28" s="159"/>
      <c r="K28" s="10"/>
      <c r="L28" s="128"/>
      <c r="M28" s="23"/>
      <c r="N28" s="159"/>
      <c r="O28" s="159"/>
      <c r="P28" s="37"/>
      <c r="Q28" s="121"/>
      <c r="R28" s="9"/>
      <c r="S28" s="159"/>
      <c r="T28" s="159"/>
      <c r="U28" s="10"/>
      <c r="V28" s="128"/>
      <c r="W28" s="259"/>
      <c r="X28" s="4"/>
      <c r="Y28" s="4"/>
      <c r="Z28" s="10"/>
      <c r="AA28" s="125"/>
      <c r="AB28" s="26">
        <f t="shared" si="2"/>
        <v>0</v>
      </c>
      <c r="AC28" s="17">
        <f t="shared" si="0"/>
        <v>0</v>
      </c>
      <c r="AD28" s="17">
        <f t="shared" si="1"/>
        <v>0</v>
      </c>
      <c r="AE28" s="27">
        <f t="shared" si="3"/>
        <v>0</v>
      </c>
      <c r="AF28" s="27">
        <f t="shared" si="4"/>
        <v>0</v>
      </c>
      <c r="AG28" s="19" t="str">
        <f t="shared" si="5"/>
        <v>-</v>
      </c>
    </row>
    <row r="29" spans="2:33" x14ac:dyDescent="0.25">
      <c r="B29" s="236" t="s">
        <v>21</v>
      </c>
      <c r="C29" s="9"/>
      <c r="D29" s="159"/>
      <c r="E29" s="159"/>
      <c r="F29" s="10"/>
      <c r="G29" s="121"/>
      <c r="H29" s="9"/>
      <c r="I29" s="159"/>
      <c r="J29" s="159"/>
      <c r="K29" s="10"/>
      <c r="L29" s="128"/>
      <c r="M29" s="23"/>
      <c r="N29" s="159"/>
      <c r="O29" s="159"/>
      <c r="P29" s="37"/>
      <c r="Q29" s="121"/>
      <c r="R29" s="9"/>
      <c r="S29" s="159"/>
      <c r="T29" s="159"/>
      <c r="U29" s="10"/>
      <c r="V29" s="128"/>
      <c r="W29" s="259" t="s">
        <v>41</v>
      </c>
      <c r="X29" s="4" t="s">
        <v>41</v>
      </c>
      <c r="Y29" s="4" t="s">
        <v>41</v>
      </c>
      <c r="Z29" s="10" t="s">
        <v>41</v>
      </c>
      <c r="AA29" s="125"/>
      <c r="AB29" s="26">
        <f t="shared" si="2"/>
        <v>0</v>
      </c>
      <c r="AC29" s="17">
        <f t="shared" si="0"/>
        <v>0</v>
      </c>
      <c r="AD29" s="17">
        <f t="shared" si="1"/>
        <v>0</v>
      </c>
      <c r="AE29" s="27">
        <f t="shared" si="3"/>
        <v>0</v>
      </c>
      <c r="AF29" s="27">
        <f t="shared" si="4"/>
        <v>0</v>
      </c>
      <c r="AG29" s="19" t="str">
        <f t="shared" si="5"/>
        <v>-</v>
      </c>
    </row>
    <row r="30" spans="2:33" x14ac:dyDescent="0.25">
      <c r="B30" s="236" t="s">
        <v>22</v>
      </c>
      <c r="C30" s="9"/>
      <c r="D30" s="159"/>
      <c r="E30" s="159"/>
      <c r="F30" s="10"/>
      <c r="G30" s="121"/>
      <c r="H30" s="9"/>
      <c r="I30" s="159"/>
      <c r="J30" s="159"/>
      <c r="K30" s="10"/>
      <c r="L30" s="128"/>
      <c r="M30" s="23" t="s">
        <v>50</v>
      </c>
      <c r="N30" s="159">
        <v>2</v>
      </c>
      <c r="O30" s="159">
        <v>0</v>
      </c>
      <c r="P30" s="37">
        <v>6.44</v>
      </c>
      <c r="Q30" s="121"/>
      <c r="R30" s="9" t="s">
        <v>50</v>
      </c>
      <c r="S30" s="159">
        <v>4</v>
      </c>
      <c r="T30" s="159">
        <v>1</v>
      </c>
      <c r="U30" s="10">
        <v>6.56</v>
      </c>
      <c r="V30" s="128" t="s">
        <v>76</v>
      </c>
      <c r="W30" s="259" t="s">
        <v>41</v>
      </c>
      <c r="X30" s="4" t="s">
        <v>41</v>
      </c>
      <c r="Y30" s="4" t="s">
        <v>41</v>
      </c>
      <c r="Z30" s="10" t="s">
        <v>41</v>
      </c>
      <c r="AA30" s="125"/>
      <c r="AB30" s="26">
        <f t="shared" si="2"/>
        <v>2</v>
      </c>
      <c r="AC30" s="17">
        <f t="shared" si="0"/>
        <v>6</v>
      </c>
      <c r="AD30" s="17">
        <f t="shared" si="1"/>
        <v>1</v>
      </c>
      <c r="AE30" s="27">
        <f t="shared" si="3"/>
        <v>7</v>
      </c>
      <c r="AF30" s="27">
        <f t="shared" si="4"/>
        <v>1</v>
      </c>
      <c r="AG30" s="19">
        <f t="shared" si="5"/>
        <v>6.5</v>
      </c>
    </row>
    <row r="31" spans="2:33" x14ac:dyDescent="0.25">
      <c r="B31" s="236" t="s">
        <v>23</v>
      </c>
      <c r="C31" s="9"/>
      <c r="D31" s="159"/>
      <c r="E31" s="159"/>
      <c r="F31" s="10"/>
      <c r="G31" s="121"/>
      <c r="H31" s="9"/>
      <c r="I31" s="159"/>
      <c r="J31" s="159"/>
      <c r="K31" s="10"/>
      <c r="L31" s="128"/>
      <c r="M31" s="23" t="s">
        <v>50</v>
      </c>
      <c r="N31" s="159">
        <v>2</v>
      </c>
      <c r="O31" s="159">
        <v>1</v>
      </c>
      <c r="P31" s="37">
        <v>4.5</v>
      </c>
      <c r="Q31" s="121"/>
      <c r="R31" s="9"/>
      <c r="S31" s="159"/>
      <c r="T31" s="159"/>
      <c r="U31" s="10"/>
      <c r="V31" s="128"/>
      <c r="W31" s="259" t="s">
        <v>41</v>
      </c>
      <c r="X31" s="4" t="s">
        <v>41</v>
      </c>
      <c r="Y31" s="4" t="s">
        <v>41</v>
      </c>
      <c r="Z31" s="10" t="s">
        <v>41</v>
      </c>
      <c r="AA31" s="125"/>
      <c r="AB31" s="26">
        <f t="shared" si="2"/>
        <v>1</v>
      </c>
      <c r="AC31" s="17">
        <f t="shared" si="0"/>
        <v>2</v>
      </c>
      <c r="AD31" s="17">
        <f t="shared" si="1"/>
        <v>1</v>
      </c>
      <c r="AE31" s="27">
        <f t="shared" si="3"/>
        <v>3</v>
      </c>
      <c r="AF31" s="27">
        <f t="shared" si="4"/>
        <v>0</v>
      </c>
      <c r="AG31" s="19">
        <f t="shared" si="5"/>
        <v>4.5</v>
      </c>
    </row>
    <row r="32" spans="2:33" x14ac:dyDescent="0.25">
      <c r="B32" s="237" t="s">
        <v>84</v>
      </c>
      <c r="C32" s="9"/>
      <c r="D32" s="159"/>
      <c r="E32" s="159"/>
      <c r="F32" s="10"/>
      <c r="G32" s="121"/>
      <c r="H32" s="9"/>
      <c r="I32" s="159"/>
      <c r="J32" s="159"/>
      <c r="K32" s="10"/>
      <c r="L32" s="128"/>
      <c r="M32" s="23"/>
      <c r="N32" s="159"/>
      <c r="O32" s="159"/>
      <c r="P32" s="37"/>
      <c r="Q32" s="121"/>
      <c r="R32" s="9"/>
      <c r="S32" s="159"/>
      <c r="T32" s="159"/>
      <c r="U32" s="10"/>
      <c r="V32" s="128"/>
      <c r="W32" s="259"/>
      <c r="X32" s="4"/>
      <c r="Y32" s="4"/>
      <c r="Z32" s="10"/>
      <c r="AA32" s="125"/>
      <c r="AB32" s="26">
        <f t="shared" si="2"/>
        <v>0</v>
      </c>
      <c r="AC32" s="17">
        <f t="shared" si="0"/>
        <v>0</v>
      </c>
      <c r="AD32" s="17">
        <f t="shared" si="1"/>
        <v>0</v>
      </c>
      <c r="AE32" s="27">
        <f t="shared" si="3"/>
        <v>0</v>
      </c>
      <c r="AF32" s="27">
        <f t="shared" si="4"/>
        <v>0</v>
      </c>
      <c r="AG32" s="19" t="str">
        <f t="shared" si="5"/>
        <v>-</v>
      </c>
    </row>
    <row r="33" spans="2:33" x14ac:dyDescent="0.25">
      <c r="B33" s="236" t="s">
        <v>24</v>
      </c>
      <c r="C33" s="9"/>
      <c r="D33" s="159"/>
      <c r="E33" s="159"/>
      <c r="F33" s="10"/>
      <c r="G33" s="121"/>
      <c r="H33" s="9"/>
      <c r="I33" s="159"/>
      <c r="J33" s="159"/>
      <c r="K33" s="10"/>
      <c r="L33" s="128"/>
      <c r="M33" s="23"/>
      <c r="N33" s="159"/>
      <c r="O33" s="159"/>
      <c r="P33" s="37"/>
      <c r="Q33" s="121"/>
      <c r="R33" s="9"/>
      <c r="S33" s="159"/>
      <c r="T33" s="159"/>
      <c r="U33" s="10"/>
      <c r="V33" s="128"/>
      <c r="W33" s="259" t="s">
        <v>41</v>
      </c>
      <c r="X33" s="4" t="s">
        <v>41</v>
      </c>
      <c r="Y33" s="4" t="s">
        <v>41</v>
      </c>
      <c r="Z33" s="10" t="s">
        <v>41</v>
      </c>
      <c r="AA33" s="125"/>
      <c r="AB33" s="26">
        <f t="shared" si="2"/>
        <v>0</v>
      </c>
      <c r="AC33" s="17">
        <f t="shared" si="0"/>
        <v>0</v>
      </c>
      <c r="AD33" s="17">
        <f t="shared" si="1"/>
        <v>0</v>
      </c>
      <c r="AE33" s="27">
        <f t="shared" si="3"/>
        <v>0</v>
      </c>
      <c r="AF33" s="27">
        <f t="shared" si="4"/>
        <v>0</v>
      </c>
      <c r="AG33" s="19" t="str">
        <f t="shared" si="5"/>
        <v>-</v>
      </c>
    </row>
    <row r="34" spans="2:33" x14ac:dyDescent="0.25">
      <c r="B34" s="236" t="s">
        <v>25</v>
      </c>
      <c r="C34" s="9" t="s">
        <v>50</v>
      </c>
      <c r="D34" s="159">
        <v>1</v>
      </c>
      <c r="E34" s="159">
        <v>1</v>
      </c>
      <c r="F34" s="10">
        <v>6.48</v>
      </c>
      <c r="G34" s="121"/>
      <c r="H34" s="9" t="s">
        <v>50</v>
      </c>
      <c r="I34" s="159">
        <v>0</v>
      </c>
      <c r="J34" s="159">
        <v>0</v>
      </c>
      <c r="K34" s="10">
        <v>5.0599999999999996</v>
      </c>
      <c r="L34" s="128"/>
      <c r="M34" s="23" t="s">
        <v>50</v>
      </c>
      <c r="N34" s="159">
        <v>0</v>
      </c>
      <c r="O34" s="159">
        <v>1</v>
      </c>
      <c r="P34" s="37">
        <v>5.16</v>
      </c>
      <c r="Q34" s="121"/>
      <c r="R34" s="9"/>
      <c r="S34" s="159"/>
      <c r="T34" s="159"/>
      <c r="U34" s="10"/>
      <c r="V34" s="128"/>
      <c r="W34" s="259" t="s">
        <v>41</v>
      </c>
      <c r="X34" s="4" t="s">
        <v>41</v>
      </c>
      <c r="Y34" s="4" t="s">
        <v>41</v>
      </c>
      <c r="Z34" s="10" t="s">
        <v>41</v>
      </c>
      <c r="AA34" s="125"/>
      <c r="AB34" s="26">
        <f t="shared" si="2"/>
        <v>3</v>
      </c>
      <c r="AC34" s="17">
        <f t="shared" si="0"/>
        <v>1</v>
      </c>
      <c r="AD34" s="17">
        <f t="shared" si="1"/>
        <v>2</v>
      </c>
      <c r="AE34" s="27">
        <f t="shared" si="3"/>
        <v>3</v>
      </c>
      <c r="AF34" s="27">
        <f t="shared" si="4"/>
        <v>0</v>
      </c>
      <c r="AG34" s="19">
        <f t="shared" si="5"/>
        <v>5.5666666666666664</v>
      </c>
    </row>
    <row r="35" spans="2:33" x14ac:dyDescent="0.25">
      <c r="B35" s="236" t="s">
        <v>26</v>
      </c>
      <c r="C35" s="9" t="s">
        <v>50</v>
      </c>
      <c r="D35" s="159">
        <v>0</v>
      </c>
      <c r="E35" s="159">
        <v>0</v>
      </c>
      <c r="F35" s="10" t="s">
        <v>41</v>
      </c>
      <c r="G35" s="121"/>
      <c r="H35" s="9" t="s">
        <v>50</v>
      </c>
      <c r="I35" s="159">
        <v>2</v>
      </c>
      <c r="J35" s="159">
        <v>0</v>
      </c>
      <c r="K35" s="10">
        <v>5.48</v>
      </c>
      <c r="L35" s="128"/>
      <c r="M35" s="23" t="s">
        <v>50</v>
      </c>
      <c r="N35" s="159">
        <v>1</v>
      </c>
      <c r="O35" s="159">
        <v>0</v>
      </c>
      <c r="P35" s="37">
        <v>5.16</v>
      </c>
      <c r="Q35" s="121"/>
      <c r="R35" s="9"/>
      <c r="S35" s="159"/>
      <c r="T35" s="159"/>
      <c r="U35" s="10"/>
      <c r="V35" s="128"/>
      <c r="W35" s="259" t="s">
        <v>41</v>
      </c>
      <c r="X35" s="4" t="s">
        <v>41</v>
      </c>
      <c r="Y35" s="4" t="s">
        <v>41</v>
      </c>
      <c r="Z35" s="10" t="s">
        <v>41</v>
      </c>
      <c r="AA35" s="125"/>
      <c r="AB35" s="26">
        <f t="shared" si="2"/>
        <v>3</v>
      </c>
      <c r="AC35" s="17">
        <f t="shared" si="0"/>
        <v>3</v>
      </c>
      <c r="AD35" s="17">
        <f t="shared" si="1"/>
        <v>0</v>
      </c>
      <c r="AE35" s="27">
        <f t="shared" si="3"/>
        <v>3</v>
      </c>
      <c r="AF35" s="27">
        <f t="shared" si="4"/>
        <v>0</v>
      </c>
      <c r="AG35" s="19">
        <f t="shared" si="5"/>
        <v>5.32</v>
      </c>
    </row>
    <row r="36" spans="2:33" x14ac:dyDescent="0.25">
      <c r="B36" s="236" t="s">
        <v>27</v>
      </c>
      <c r="C36" s="9" t="s">
        <v>50</v>
      </c>
      <c r="D36" s="159">
        <v>0</v>
      </c>
      <c r="E36" s="159">
        <v>3</v>
      </c>
      <c r="F36" s="10">
        <v>4.24</v>
      </c>
      <c r="G36" s="121"/>
      <c r="H36" s="9" t="s">
        <v>50</v>
      </c>
      <c r="I36" s="159">
        <v>2</v>
      </c>
      <c r="J36" s="159">
        <v>1</v>
      </c>
      <c r="K36" s="10">
        <v>5.48</v>
      </c>
      <c r="L36" s="128" t="s">
        <v>76</v>
      </c>
      <c r="M36" s="23" t="s">
        <v>50</v>
      </c>
      <c r="N36" s="159">
        <v>0</v>
      </c>
      <c r="O36" s="159">
        <v>4</v>
      </c>
      <c r="P36" s="37">
        <v>4.96</v>
      </c>
      <c r="Q36" s="121"/>
      <c r="R36" s="9" t="s">
        <v>50</v>
      </c>
      <c r="S36" s="159">
        <v>1</v>
      </c>
      <c r="T36" s="159">
        <v>2</v>
      </c>
      <c r="U36" s="10">
        <v>4.3600000000000003</v>
      </c>
      <c r="V36" s="128"/>
      <c r="W36" s="259" t="s">
        <v>41</v>
      </c>
      <c r="X36" s="4" t="s">
        <v>41</v>
      </c>
      <c r="Y36" s="4" t="s">
        <v>41</v>
      </c>
      <c r="Z36" s="10" t="s">
        <v>41</v>
      </c>
      <c r="AA36" s="125"/>
      <c r="AB36" s="26">
        <f t="shared" si="2"/>
        <v>4</v>
      </c>
      <c r="AC36" s="17">
        <f t="shared" si="0"/>
        <v>3</v>
      </c>
      <c r="AD36" s="17">
        <f t="shared" si="1"/>
        <v>10</v>
      </c>
      <c r="AE36" s="27">
        <f t="shared" si="3"/>
        <v>13</v>
      </c>
      <c r="AF36" s="27">
        <f t="shared" si="4"/>
        <v>1</v>
      </c>
      <c r="AG36" s="19">
        <f t="shared" si="5"/>
        <v>4.76</v>
      </c>
    </row>
    <row r="37" spans="2:33" x14ac:dyDescent="0.25">
      <c r="B37" s="236" t="s">
        <v>28</v>
      </c>
      <c r="C37" s="9" t="s">
        <v>50</v>
      </c>
      <c r="D37" s="159">
        <v>0</v>
      </c>
      <c r="E37" s="159">
        <v>0</v>
      </c>
      <c r="F37" s="10">
        <v>4.88</v>
      </c>
      <c r="G37" s="121"/>
      <c r="H37" s="9" t="s">
        <v>50</v>
      </c>
      <c r="I37" s="159">
        <v>1</v>
      </c>
      <c r="J37" s="159">
        <v>0</v>
      </c>
      <c r="K37" s="10">
        <v>6.18</v>
      </c>
      <c r="L37" s="128" t="s">
        <v>76</v>
      </c>
      <c r="M37" s="23"/>
      <c r="N37" s="159"/>
      <c r="O37" s="159"/>
      <c r="P37" s="37"/>
      <c r="Q37" s="121"/>
      <c r="R37" s="9"/>
      <c r="S37" s="159"/>
      <c r="T37" s="159"/>
      <c r="U37" s="10"/>
      <c r="V37" s="128"/>
      <c r="W37" s="259" t="s">
        <v>41</v>
      </c>
      <c r="X37" s="4" t="s">
        <v>41</v>
      </c>
      <c r="Y37" s="4" t="s">
        <v>41</v>
      </c>
      <c r="Z37" s="10" t="s">
        <v>41</v>
      </c>
      <c r="AA37" s="125"/>
      <c r="AB37" s="26">
        <f t="shared" si="2"/>
        <v>2</v>
      </c>
      <c r="AC37" s="17">
        <f t="shared" si="0"/>
        <v>1</v>
      </c>
      <c r="AD37" s="17">
        <f t="shared" si="1"/>
        <v>0</v>
      </c>
      <c r="AE37" s="27">
        <f t="shared" si="3"/>
        <v>1</v>
      </c>
      <c r="AF37" s="27">
        <f t="shared" si="4"/>
        <v>1</v>
      </c>
      <c r="AG37" s="19">
        <f t="shared" si="5"/>
        <v>5.5299999999999994</v>
      </c>
    </row>
    <row r="38" spans="2:33" x14ac:dyDescent="0.25">
      <c r="B38" s="236" t="s">
        <v>77</v>
      </c>
      <c r="C38" s="49"/>
      <c r="D38" s="137"/>
      <c r="E38" s="137"/>
      <c r="F38" s="139"/>
      <c r="G38" s="147"/>
      <c r="H38" s="49"/>
      <c r="I38" s="137"/>
      <c r="J38" s="137"/>
      <c r="K38" s="139"/>
      <c r="L38" s="249"/>
      <c r="M38" s="143"/>
      <c r="N38" s="137"/>
      <c r="O38" s="137"/>
      <c r="P38" s="144"/>
      <c r="Q38" s="121"/>
      <c r="R38" s="49"/>
      <c r="S38" s="137"/>
      <c r="T38" s="137"/>
      <c r="U38" s="139"/>
      <c r="V38" s="128"/>
      <c r="W38" s="259" t="s">
        <v>41</v>
      </c>
      <c r="X38" s="4" t="s">
        <v>41</v>
      </c>
      <c r="Y38" s="4" t="s">
        <v>41</v>
      </c>
      <c r="Z38" s="10" t="s">
        <v>41</v>
      </c>
      <c r="AA38" s="125"/>
      <c r="AB38" s="26">
        <f t="shared" si="2"/>
        <v>0</v>
      </c>
      <c r="AC38" s="17">
        <f t="shared" si="0"/>
        <v>0</v>
      </c>
      <c r="AD38" s="17">
        <f t="shared" si="1"/>
        <v>0</v>
      </c>
      <c r="AE38" s="27">
        <f t="shared" si="3"/>
        <v>0</v>
      </c>
      <c r="AF38" s="27">
        <f t="shared" si="4"/>
        <v>0</v>
      </c>
      <c r="AG38" s="19" t="str">
        <f t="shared" si="5"/>
        <v>-</v>
      </c>
    </row>
    <row r="39" spans="2:33" x14ac:dyDescent="0.25">
      <c r="B39" s="236" t="s">
        <v>29</v>
      </c>
      <c r="C39" s="9" t="s">
        <v>50</v>
      </c>
      <c r="D39" s="159">
        <v>1</v>
      </c>
      <c r="E39" s="159">
        <v>0</v>
      </c>
      <c r="F39" s="10">
        <v>4.3</v>
      </c>
      <c r="G39" s="121"/>
      <c r="H39" s="9"/>
      <c r="I39" s="159"/>
      <c r="J39" s="159"/>
      <c r="K39" s="10"/>
      <c r="L39" s="128"/>
      <c r="M39" s="23" t="s">
        <v>50</v>
      </c>
      <c r="N39" s="159">
        <v>0</v>
      </c>
      <c r="O39" s="159">
        <v>0</v>
      </c>
      <c r="P39" s="37">
        <v>4.58</v>
      </c>
      <c r="Q39" s="121"/>
      <c r="R39" s="9" t="s">
        <v>50</v>
      </c>
      <c r="S39" s="159">
        <v>0</v>
      </c>
      <c r="T39" s="159">
        <v>0</v>
      </c>
      <c r="U39" s="10">
        <v>6.7</v>
      </c>
      <c r="V39" s="128" t="s">
        <v>76</v>
      </c>
      <c r="W39" s="259" t="s">
        <v>41</v>
      </c>
      <c r="X39" s="4" t="s">
        <v>41</v>
      </c>
      <c r="Y39" s="4" t="s">
        <v>41</v>
      </c>
      <c r="Z39" s="10" t="s">
        <v>41</v>
      </c>
      <c r="AA39" s="125"/>
      <c r="AB39" s="26">
        <f t="shared" si="2"/>
        <v>3</v>
      </c>
      <c r="AC39" s="17">
        <f t="shared" si="0"/>
        <v>1</v>
      </c>
      <c r="AD39" s="17">
        <f t="shared" si="1"/>
        <v>0</v>
      </c>
      <c r="AE39" s="27">
        <f t="shared" si="3"/>
        <v>1</v>
      </c>
      <c r="AF39" s="27">
        <f t="shared" si="4"/>
        <v>1</v>
      </c>
      <c r="AG39" s="19">
        <f t="shared" si="5"/>
        <v>5.1933333333333325</v>
      </c>
    </row>
    <row r="40" spans="2:33" x14ac:dyDescent="0.25">
      <c r="B40" s="236" t="s">
        <v>30</v>
      </c>
      <c r="C40" s="9" t="s">
        <v>50</v>
      </c>
      <c r="D40" s="159">
        <v>2</v>
      </c>
      <c r="E40" s="159">
        <v>1</v>
      </c>
      <c r="F40" s="10">
        <v>6.06</v>
      </c>
      <c r="G40" s="121" t="s">
        <v>76</v>
      </c>
      <c r="H40" s="9" t="s">
        <v>50</v>
      </c>
      <c r="I40" s="159">
        <v>1</v>
      </c>
      <c r="J40" s="159">
        <v>1</v>
      </c>
      <c r="K40" s="10">
        <v>6.18</v>
      </c>
      <c r="L40" s="128"/>
      <c r="M40" s="23" t="s">
        <v>50</v>
      </c>
      <c r="N40" s="159">
        <v>1</v>
      </c>
      <c r="O40" s="159">
        <v>2</v>
      </c>
      <c r="P40" s="37">
        <v>6.34</v>
      </c>
      <c r="Q40" s="121" t="s">
        <v>76</v>
      </c>
      <c r="R40" s="9" t="s">
        <v>50</v>
      </c>
      <c r="S40" s="159">
        <v>2</v>
      </c>
      <c r="T40" s="159">
        <v>2</v>
      </c>
      <c r="U40" s="10">
        <v>7.24</v>
      </c>
      <c r="V40" s="128" t="s">
        <v>76</v>
      </c>
      <c r="W40" s="259" t="s">
        <v>41</v>
      </c>
      <c r="X40" s="4" t="s">
        <v>41</v>
      </c>
      <c r="Y40" s="4" t="s">
        <v>41</v>
      </c>
      <c r="Z40" s="10" t="s">
        <v>41</v>
      </c>
      <c r="AA40" s="125"/>
      <c r="AB40" s="26">
        <f t="shared" si="2"/>
        <v>4</v>
      </c>
      <c r="AC40" s="17">
        <f t="shared" si="0"/>
        <v>6</v>
      </c>
      <c r="AD40" s="17">
        <f t="shared" si="1"/>
        <v>6</v>
      </c>
      <c r="AE40" s="27">
        <f t="shared" si="3"/>
        <v>12</v>
      </c>
      <c r="AF40" s="27">
        <f t="shared" si="4"/>
        <v>3</v>
      </c>
      <c r="AG40" s="19">
        <f t="shared" si="5"/>
        <v>6.4550000000000001</v>
      </c>
    </row>
    <row r="41" spans="2:33" x14ac:dyDescent="0.25">
      <c r="B41" s="236" t="s">
        <v>31</v>
      </c>
      <c r="C41" s="9" t="s">
        <v>50</v>
      </c>
      <c r="D41" s="159">
        <v>0</v>
      </c>
      <c r="E41" s="159">
        <v>1</v>
      </c>
      <c r="F41" s="10">
        <v>6.24</v>
      </c>
      <c r="G41" s="121"/>
      <c r="H41" s="9" t="s">
        <v>50</v>
      </c>
      <c r="I41" s="159">
        <v>0</v>
      </c>
      <c r="J41" s="159">
        <v>1</v>
      </c>
      <c r="K41" s="10">
        <v>5.94</v>
      </c>
      <c r="L41" s="128" t="s">
        <v>76</v>
      </c>
      <c r="M41" s="23" t="s">
        <v>50</v>
      </c>
      <c r="N41" s="159">
        <v>0</v>
      </c>
      <c r="O41" s="159">
        <v>0</v>
      </c>
      <c r="P41" s="37">
        <v>4.34</v>
      </c>
      <c r="Q41" s="121"/>
      <c r="R41" s="9" t="s">
        <v>50</v>
      </c>
      <c r="S41" s="159">
        <v>0</v>
      </c>
      <c r="T41" s="159">
        <v>0</v>
      </c>
      <c r="U41" s="10">
        <v>4.76</v>
      </c>
      <c r="V41" s="128"/>
      <c r="W41" s="259" t="s">
        <v>41</v>
      </c>
      <c r="X41" s="4" t="s">
        <v>41</v>
      </c>
      <c r="Y41" s="4" t="s">
        <v>41</v>
      </c>
      <c r="Z41" s="10" t="s">
        <v>41</v>
      </c>
      <c r="AA41" s="125"/>
      <c r="AB41" s="26">
        <f t="shared" si="2"/>
        <v>4</v>
      </c>
      <c r="AC41" s="17">
        <f t="shared" si="0"/>
        <v>0</v>
      </c>
      <c r="AD41" s="17">
        <f t="shared" si="1"/>
        <v>2</v>
      </c>
      <c r="AE41" s="27">
        <f t="shared" si="3"/>
        <v>2</v>
      </c>
      <c r="AF41" s="27">
        <f t="shared" si="4"/>
        <v>1</v>
      </c>
      <c r="AG41" s="19">
        <f t="shared" si="5"/>
        <v>5.32</v>
      </c>
    </row>
    <row r="42" spans="2:33" x14ac:dyDescent="0.25">
      <c r="B42" s="236" t="s">
        <v>32</v>
      </c>
      <c r="C42" s="9" t="s">
        <v>50</v>
      </c>
      <c r="D42" s="159">
        <v>0</v>
      </c>
      <c r="E42" s="159">
        <v>1</v>
      </c>
      <c r="F42" s="10">
        <v>5.58</v>
      </c>
      <c r="G42" s="121"/>
      <c r="H42" s="9" t="s">
        <v>50</v>
      </c>
      <c r="I42" s="159">
        <v>1</v>
      </c>
      <c r="J42" s="159">
        <v>0</v>
      </c>
      <c r="K42" s="10">
        <v>5.24</v>
      </c>
      <c r="L42" s="128"/>
      <c r="M42" s="23"/>
      <c r="N42" s="159"/>
      <c r="O42" s="159"/>
      <c r="P42" s="37"/>
      <c r="Q42" s="121"/>
      <c r="R42" s="9" t="s">
        <v>50</v>
      </c>
      <c r="S42" s="159">
        <v>2</v>
      </c>
      <c r="T42" s="159">
        <v>0</v>
      </c>
      <c r="U42" s="10">
        <v>4.3</v>
      </c>
      <c r="V42" s="128"/>
      <c r="W42" s="259" t="s">
        <v>41</v>
      </c>
      <c r="X42" s="4" t="s">
        <v>41</v>
      </c>
      <c r="Y42" s="4" t="s">
        <v>41</v>
      </c>
      <c r="Z42" s="10" t="s">
        <v>41</v>
      </c>
      <c r="AA42" s="125"/>
      <c r="AB42" s="26">
        <f t="shared" si="2"/>
        <v>3</v>
      </c>
      <c r="AC42" s="17">
        <f t="shared" si="0"/>
        <v>3</v>
      </c>
      <c r="AD42" s="17">
        <f t="shared" si="1"/>
        <v>1</v>
      </c>
      <c r="AE42" s="27">
        <f t="shared" si="3"/>
        <v>4</v>
      </c>
      <c r="AF42" s="27">
        <f t="shared" si="4"/>
        <v>0</v>
      </c>
      <c r="AG42" s="19">
        <f t="shared" si="5"/>
        <v>5.04</v>
      </c>
    </row>
    <row r="43" spans="2:33" x14ac:dyDescent="0.25">
      <c r="B43" s="236" t="s">
        <v>33</v>
      </c>
      <c r="C43" s="9"/>
      <c r="D43" s="159"/>
      <c r="E43" s="159"/>
      <c r="F43" s="10"/>
      <c r="G43" s="121"/>
      <c r="H43" s="9"/>
      <c r="I43" s="159"/>
      <c r="J43" s="159"/>
      <c r="K43" s="10"/>
      <c r="L43" s="128"/>
      <c r="M43" s="23"/>
      <c r="N43" s="159"/>
      <c r="O43" s="159"/>
      <c r="P43" s="37"/>
      <c r="Q43" s="121"/>
      <c r="R43" s="9"/>
      <c r="S43" s="159"/>
      <c r="T43" s="159"/>
      <c r="U43" s="10"/>
      <c r="V43" s="128"/>
      <c r="W43" s="259" t="s">
        <v>41</v>
      </c>
      <c r="X43" s="4" t="s">
        <v>41</v>
      </c>
      <c r="Y43" s="4" t="s">
        <v>41</v>
      </c>
      <c r="Z43" s="10" t="s">
        <v>41</v>
      </c>
      <c r="AA43" s="125"/>
      <c r="AB43" s="26">
        <f t="shared" si="2"/>
        <v>0</v>
      </c>
      <c r="AC43" s="17">
        <f t="shared" si="0"/>
        <v>0</v>
      </c>
      <c r="AD43" s="17">
        <f t="shared" si="1"/>
        <v>0</v>
      </c>
      <c r="AE43" s="27">
        <f t="shared" si="3"/>
        <v>0</v>
      </c>
      <c r="AF43" s="27">
        <f t="shared" si="4"/>
        <v>0</v>
      </c>
      <c r="AG43" s="19" t="str">
        <f t="shared" si="5"/>
        <v>-</v>
      </c>
    </row>
    <row r="44" spans="2:33" x14ac:dyDescent="0.25">
      <c r="B44" s="236" t="s">
        <v>34</v>
      </c>
      <c r="C44" s="9" t="s">
        <v>50</v>
      </c>
      <c r="D44" s="159">
        <v>0</v>
      </c>
      <c r="E44" s="159">
        <v>1</v>
      </c>
      <c r="F44" s="10">
        <v>4.42</v>
      </c>
      <c r="G44" s="121"/>
      <c r="H44" s="9"/>
      <c r="I44" s="159"/>
      <c r="J44" s="159"/>
      <c r="K44" s="10"/>
      <c r="L44" s="128"/>
      <c r="M44" s="23" t="s">
        <v>50</v>
      </c>
      <c r="N44" s="159">
        <v>0</v>
      </c>
      <c r="O44" s="159">
        <v>0</v>
      </c>
      <c r="P44" s="37">
        <v>3.54</v>
      </c>
      <c r="Q44" s="121"/>
      <c r="R44" s="9"/>
      <c r="S44" s="159"/>
      <c r="T44" s="159"/>
      <c r="U44" s="10"/>
      <c r="V44" s="128"/>
      <c r="W44" s="259" t="s">
        <v>41</v>
      </c>
      <c r="X44" s="4" t="s">
        <v>41</v>
      </c>
      <c r="Y44" s="4" t="s">
        <v>41</v>
      </c>
      <c r="Z44" s="10" t="s">
        <v>41</v>
      </c>
      <c r="AA44" s="125"/>
      <c r="AB44" s="26">
        <f t="shared" si="2"/>
        <v>2</v>
      </c>
      <c r="AC44" s="17">
        <f t="shared" si="0"/>
        <v>0</v>
      </c>
      <c r="AD44" s="17">
        <f t="shared" si="1"/>
        <v>1</v>
      </c>
      <c r="AE44" s="27">
        <f t="shared" si="3"/>
        <v>1</v>
      </c>
      <c r="AF44" s="27">
        <f t="shared" si="4"/>
        <v>0</v>
      </c>
      <c r="AG44" s="19">
        <f t="shared" si="5"/>
        <v>3.98</v>
      </c>
    </row>
    <row r="45" spans="2:33" x14ac:dyDescent="0.25">
      <c r="B45" s="236" t="s">
        <v>35</v>
      </c>
      <c r="C45" s="9" t="s">
        <v>50</v>
      </c>
      <c r="D45" s="159">
        <v>0</v>
      </c>
      <c r="E45" s="159">
        <v>0</v>
      </c>
      <c r="F45" s="10">
        <v>4.12</v>
      </c>
      <c r="G45" s="121"/>
      <c r="H45" s="9" t="s">
        <v>50</v>
      </c>
      <c r="I45" s="159">
        <v>0</v>
      </c>
      <c r="J45" s="159">
        <v>0</v>
      </c>
      <c r="K45" s="10">
        <v>5.0599999999999996</v>
      </c>
      <c r="L45" s="128"/>
      <c r="M45" s="23" t="s">
        <v>50</v>
      </c>
      <c r="N45" s="159">
        <v>1</v>
      </c>
      <c r="O45" s="159">
        <v>0</v>
      </c>
      <c r="P45" s="37">
        <v>5</v>
      </c>
      <c r="Q45" s="121" t="s">
        <v>76</v>
      </c>
      <c r="R45" s="9" t="s">
        <v>50</v>
      </c>
      <c r="S45" s="159">
        <v>1</v>
      </c>
      <c r="T45" s="159">
        <v>0</v>
      </c>
      <c r="U45" s="10">
        <v>4.82</v>
      </c>
      <c r="V45" s="128"/>
      <c r="W45" s="259" t="s">
        <v>41</v>
      </c>
      <c r="X45" s="4" t="s">
        <v>41</v>
      </c>
      <c r="Y45" s="4" t="s">
        <v>41</v>
      </c>
      <c r="Z45" s="10" t="s">
        <v>41</v>
      </c>
      <c r="AA45" s="125"/>
      <c r="AB45" s="26">
        <f t="shared" si="2"/>
        <v>4</v>
      </c>
      <c r="AC45" s="17">
        <f t="shared" si="0"/>
        <v>2</v>
      </c>
      <c r="AD45" s="17">
        <f t="shared" si="1"/>
        <v>0</v>
      </c>
      <c r="AE45" s="27">
        <f t="shared" si="3"/>
        <v>2</v>
      </c>
      <c r="AF45" s="27">
        <f t="shared" si="4"/>
        <v>1</v>
      </c>
      <c r="AG45" s="19">
        <f t="shared" si="5"/>
        <v>4.75</v>
      </c>
    </row>
    <row r="46" spans="2:33" x14ac:dyDescent="0.25">
      <c r="B46" s="236" t="s">
        <v>36</v>
      </c>
      <c r="C46" s="9"/>
      <c r="D46" s="159"/>
      <c r="E46" s="159"/>
      <c r="F46" s="10"/>
      <c r="G46" s="121"/>
      <c r="H46" s="9" t="s">
        <v>50</v>
      </c>
      <c r="I46" s="159">
        <v>0</v>
      </c>
      <c r="J46" s="159">
        <v>0</v>
      </c>
      <c r="K46" s="10">
        <v>7.24</v>
      </c>
      <c r="L46" s="128"/>
      <c r="M46" s="23" t="s">
        <v>50</v>
      </c>
      <c r="N46" s="159">
        <v>0</v>
      </c>
      <c r="O46" s="159">
        <v>0</v>
      </c>
      <c r="P46" s="37">
        <v>6.38</v>
      </c>
      <c r="Q46" s="121" t="s">
        <v>76</v>
      </c>
      <c r="R46" s="9"/>
      <c r="S46" s="159"/>
      <c r="T46" s="159"/>
      <c r="U46" s="10"/>
      <c r="V46" s="128"/>
      <c r="W46" s="259" t="s">
        <v>41</v>
      </c>
      <c r="X46" s="4" t="s">
        <v>41</v>
      </c>
      <c r="Y46" s="4" t="s">
        <v>41</v>
      </c>
      <c r="Z46" s="10" t="s">
        <v>41</v>
      </c>
      <c r="AA46" s="125"/>
      <c r="AB46" s="111">
        <f t="shared" si="2"/>
        <v>2</v>
      </c>
      <c r="AC46" s="65">
        <f t="shared" si="0"/>
        <v>0</v>
      </c>
      <c r="AD46" s="65">
        <f t="shared" si="1"/>
        <v>0</v>
      </c>
      <c r="AE46" s="65">
        <f t="shared" si="3"/>
        <v>0</v>
      </c>
      <c r="AF46" s="27">
        <f t="shared" si="4"/>
        <v>1</v>
      </c>
      <c r="AG46" s="69">
        <f t="shared" si="5"/>
        <v>6.8100000000000005</v>
      </c>
    </row>
    <row r="47" spans="2:33" ht="15.75" thickBot="1" x14ac:dyDescent="0.3">
      <c r="B47" s="236" t="s">
        <v>37</v>
      </c>
      <c r="C47" s="9" t="s">
        <v>50</v>
      </c>
      <c r="D47" s="159">
        <v>0</v>
      </c>
      <c r="E47" s="159">
        <v>1</v>
      </c>
      <c r="F47" s="10">
        <v>6.18</v>
      </c>
      <c r="G47" s="121" t="s">
        <v>76</v>
      </c>
      <c r="H47" s="9" t="s">
        <v>50</v>
      </c>
      <c r="I47" s="159">
        <v>0</v>
      </c>
      <c r="J47" s="159">
        <v>0</v>
      </c>
      <c r="K47" s="10">
        <v>5.36</v>
      </c>
      <c r="L47" s="128"/>
      <c r="M47" s="23" t="s">
        <v>50</v>
      </c>
      <c r="N47" s="159">
        <v>0</v>
      </c>
      <c r="O47" s="159">
        <v>1</v>
      </c>
      <c r="P47" s="37">
        <v>6.46</v>
      </c>
      <c r="Q47" s="121"/>
      <c r="R47" s="9" t="s">
        <v>50</v>
      </c>
      <c r="S47" s="159">
        <v>0</v>
      </c>
      <c r="T47" s="159">
        <v>2</v>
      </c>
      <c r="U47" s="10">
        <v>6</v>
      </c>
      <c r="V47" s="128"/>
      <c r="W47" s="263" t="s">
        <v>41</v>
      </c>
      <c r="X47" s="110" t="s">
        <v>41</v>
      </c>
      <c r="Y47" s="110" t="s">
        <v>41</v>
      </c>
      <c r="Z47" s="109" t="s">
        <v>41</v>
      </c>
      <c r="AA47" s="126"/>
      <c r="AB47" s="16">
        <f t="shared" ref="AB47" si="6">COUNTIF(C47:Z47,"P")</f>
        <v>4</v>
      </c>
      <c r="AC47" s="18">
        <f t="shared" ref="AC47" si="7">SUM(D47,I47,N47,S47,X47)</f>
        <v>0</v>
      </c>
      <c r="AD47" s="18">
        <f t="shared" ref="AD47" si="8">SUM(E47,J47,O47,T47,Y47)</f>
        <v>4</v>
      </c>
      <c r="AE47" s="18">
        <f t="shared" ref="AE47" si="9">SUM(AC47+AD47)</f>
        <v>4</v>
      </c>
      <c r="AF47" s="27">
        <f t="shared" si="4"/>
        <v>1</v>
      </c>
      <c r="AG47" s="25">
        <f t="shared" ref="AG47" si="10">IFERROR(AVERAGE(F47,K47,P47,U47,Z47),"-")</f>
        <v>6</v>
      </c>
    </row>
    <row r="48" spans="2:33" ht="15.75" thickBot="1" x14ac:dyDescent="0.3">
      <c r="B48" s="237" t="s">
        <v>85</v>
      </c>
      <c r="C48" s="9"/>
      <c r="D48" s="159"/>
      <c r="E48" s="159"/>
      <c r="F48" s="10"/>
      <c r="G48" s="121"/>
      <c r="H48" s="9"/>
      <c r="I48" s="159"/>
      <c r="J48" s="159"/>
      <c r="K48" s="10"/>
      <c r="L48" s="128"/>
      <c r="M48" s="23"/>
      <c r="N48" s="159"/>
      <c r="O48" s="159"/>
      <c r="P48" s="37"/>
      <c r="Q48" s="122"/>
      <c r="R48" s="9"/>
      <c r="S48" s="159"/>
      <c r="T48" s="159"/>
      <c r="U48" s="10"/>
      <c r="V48" s="129"/>
      <c r="W48" s="261"/>
      <c r="X48" s="14"/>
      <c r="Y48" s="14"/>
      <c r="Z48" s="13"/>
      <c r="AA48" s="127"/>
      <c r="AB48" s="16">
        <f t="shared" ref="AB48" si="11">COUNTIF(C48:Z48,"P")</f>
        <v>0</v>
      </c>
      <c r="AC48" s="18">
        <f t="shared" ref="AC48" si="12">SUM(D48,I48,N48,S48,X48)</f>
        <v>0</v>
      </c>
      <c r="AD48" s="18">
        <f t="shared" ref="AD48" si="13">SUM(E48,J48,O48,T48,Y48)</f>
        <v>0</v>
      </c>
      <c r="AE48" s="18">
        <f t="shared" ref="AE48" si="14">SUM(AC48+AD48)</f>
        <v>0</v>
      </c>
      <c r="AF48" s="27">
        <f t="shared" si="4"/>
        <v>0</v>
      </c>
      <c r="AG48" s="25" t="str">
        <f t="shared" ref="AG48" si="15">IFERROR(AVERAGE(F48,K48,P48,U48,Z48),"-")</f>
        <v>-</v>
      </c>
    </row>
    <row r="49" spans="2:33" ht="15.75" thickBot="1" x14ac:dyDescent="0.3">
      <c r="B49" s="236" t="s">
        <v>38</v>
      </c>
      <c r="C49" s="107"/>
      <c r="D49" s="108"/>
      <c r="E49" s="108"/>
      <c r="F49" s="109"/>
      <c r="G49" s="122"/>
      <c r="H49" s="107"/>
      <c r="I49" s="108"/>
      <c r="J49" s="108"/>
      <c r="K49" s="109"/>
      <c r="L49" s="129"/>
      <c r="M49" s="23" t="s">
        <v>50</v>
      </c>
      <c r="N49" s="159">
        <v>0</v>
      </c>
      <c r="O49" s="159">
        <v>0</v>
      </c>
      <c r="P49" s="37">
        <v>4.58</v>
      </c>
      <c r="Q49" s="123"/>
      <c r="R49" s="9" t="s">
        <v>50</v>
      </c>
      <c r="S49" s="159">
        <v>0</v>
      </c>
      <c r="T49" s="159">
        <v>1</v>
      </c>
      <c r="U49" s="10">
        <v>5.42</v>
      </c>
      <c r="V49" s="127"/>
      <c r="W49" s="261" t="s">
        <v>41</v>
      </c>
      <c r="X49" s="14" t="s">
        <v>41</v>
      </c>
      <c r="Y49" s="14" t="s">
        <v>41</v>
      </c>
      <c r="Z49" s="13" t="s">
        <v>41</v>
      </c>
      <c r="AA49" s="127"/>
      <c r="AB49" s="16">
        <f t="shared" ref="AB49" si="16">COUNTIF(C49:Z49,"P")</f>
        <v>2</v>
      </c>
      <c r="AC49" s="18">
        <f t="shared" ref="AC49" si="17">SUM(D49,I49,N49,S49,X49)</f>
        <v>0</v>
      </c>
      <c r="AD49" s="18">
        <f t="shared" ref="AD49" si="18">SUM(E49,J49,O49,T49,Y49)</f>
        <v>1</v>
      </c>
      <c r="AE49" s="18">
        <f t="shared" ref="AE49" si="19">SUM(AC49+AD49)</f>
        <v>1</v>
      </c>
      <c r="AF49" s="27">
        <f t="shared" si="4"/>
        <v>0</v>
      </c>
      <c r="AG49" s="25">
        <f t="shared" ref="AG49" si="20">IFERROR(AVERAGE(F49,K49,P49,U49,Z49),"-")</f>
        <v>5</v>
      </c>
    </row>
    <row r="50" spans="2:33" ht="15.75" thickBot="1" x14ac:dyDescent="0.3">
      <c r="B50" s="236" t="s">
        <v>39</v>
      </c>
      <c r="C50" s="11" t="s">
        <v>50</v>
      </c>
      <c r="D50" s="12">
        <v>5</v>
      </c>
      <c r="E50" s="12">
        <v>2</v>
      </c>
      <c r="F50" s="13">
        <v>7.7</v>
      </c>
      <c r="G50" s="123"/>
      <c r="H50" s="11"/>
      <c r="I50" s="12"/>
      <c r="J50" s="12"/>
      <c r="K50" s="13"/>
      <c r="L50" s="127"/>
      <c r="M50" s="24" t="s">
        <v>50</v>
      </c>
      <c r="N50" s="12">
        <v>2</v>
      </c>
      <c r="O50" s="12">
        <v>0</v>
      </c>
      <c r="P50" s="38">
        <v>6.34</v>
      </c>
      <c r="Q50" s="123"/>
      <c r="R50" s="11"/>
      <c r="S50" s="12"/>
      <c r="T50" s="12"/>
      <c r="U50" s="13"/>
      <c r="V50" s="127"/>
      <c r="W50" s="261" t="s">
        <v>41</v>
      </c>
      <c r="X50" s="14" t="s">
        <v>41</v>
      </c>
      <c r="Y50" s="14" t="s">
        <v>41</v>
      </c>
      <c r="Z50" s="13" t="s">
        <v>41</v>
      </c>
      <c r="AA50" s="127"/>
      <c r="AB50" s="16">
        <f t="shared" ref="AB50" si="21">COUNTIF(C50:Z50,"P")</f>
        <v>2</v>
      </c>
      <c r="AC50" s="18">
        <f t="shared" ref="AC50" si="22">SUM(D50,I50,N50,S50,X50)</f>
        <v>7</v>
      </c>
      <c r="AD50" s="18">
        <f t="shared" ref="AD50" si="23">SUM(E50,J50,O50,T50,Y50)</f>
        <v>2</v>
      </c>
      <c r="AE50" s="18">
        <f t="shared" ref="AE50" si="24">SUM(AC50+AD50)</f>
        <v>9</v>
      </c>
      <c r="AF50" s="27">
        <f t="shared" ref="AF50" si="25">COUNTIF(G50:AA50,"F")</f>
        <v>0</v>
      </c>
      <c r="AG50" s="25">
        <f t="shared" ref="AG50" si="26">IFERROR(AVERAGE(F50,K50,P50,U50,Z50),"-")</f>
        <v>7.02</v>
      </c>
    </row>
    <row r="51" spans="2:33" ht="15.75" thickBot="1" x14ac:dyDescent="0.3">
      <c r="B51" s="237" t="s">
        <v>80</v>
      </c>
      <c r="C51" s="11"/>
      <c r="D51" s="12"/>
      <c r="E51" s="12"/>
      <c r="F51" s="13"/>
      <c r="G51" s="123"/>
      <c r="H51" s="11"/>
      <c r="I51" s="12"/>
      <c r="J51" s="12"/>
      <c r="K51" s="13"/>
      <c r="L51" s="127"/>
      <c r="M51" s="24"/>
      <c r="N51" s="12"/>
      <c r="O51" s="12"/>
      <c r="P51" s="38"/>
      <c r="Q51" s="123"/>
      <c r="R51" s="11"/>
      <c r="S51" s="12"/>
      <c r="T51" s="12"/>
      <c r="U51" s="13"/>
      <c r="V51" s="127"/>
      <c r="W51" s="261"/>
      <c r="X51" s="14"/>
      <c r="Y51" s="14"/>
      <c r="Z51" s="13"/>
      <c r="AA51" s="127"/>
      <c r="AB51" s="16">
        <f t="shared" ref="AB51:AB52" si="27">COUNTIF(C51:Z51,"P")</f>
        <v>0</v>
      </c>
      <c r="AC51" s="18">
        <f t="shared" ref="AC51:AC52" si="28">SUM(D51,I51,N51,S51,X51)</f>
        <v>0</v>
      </c>
      <c r="AD51" s="18">
        <f t="shared" ref="AD51:AD52" si="29">SUM(E51,J51,O51,T51,Y51)</f>
        <v>0</v>
      </c>
      <c r="AE51" s="18">
        <f t="shared" ref="AE51:AE52" si="30">SUM(AC51+AD51)</f>
        <v>0</v>
      </c>
      <c r="AF51" s="27">
        <f t="shared" ref="AF51:AF52" si="31">COUNTIF(G51:AA51,"F")</f>
        <v>0</v>
      </c>
      <c r="AG51" s="25" t="str">
        <f t="shared" ref="AG51:AG52" si="32">IFERROR(AVERAGE(F51,K51,P51,U51,Z51),"-")</f>
        <v>-</v>
      </c>
    </row>
    <row r="52" spans="2:33" ht="15.75" thickBot="1" x14ac:dyDescent="0.3">
      <c r="B52" s="238" t="s">
        <v>81</v>
      </c>
      <c r="C52" s="11"/>
      <c r="D52" s="12"/>
      <c r="E52" s="12"/>
      <c r="F52" s="13"/>
      <c r="G52" s="123"/>
      <c r="H52" s="11"/>
      <c r="I52" s="12"/>
      <c r="J52" s="12"/>
      <c r="K52" s="13"/>
      <c r="L52" s="127"/>
      <c r="M52" s="24"/>
      <c r="N52" s="12"/>
      <c r="O52" s="12"/>
      <c r="P52" s="38"/>
      <c r="Q52" s="123"/>
      <c r="R52" s="11"/>
      <c r="S52" s="12"/>
      <c r="T52" s="12"/>
      <c r="U52" s="13"/>
      <c r="V52" s="127"/>
      <c r="W52" s="261"/>
      <c r="X52" s="14"/>
      <c r="Y52" s="14"/>
      <c r="Z52" s="13"/>
      <c r="AA52" s="127"/>
      <c r="AB52" s="16">
        <f t="shared" si="27"/>
        <v>0</v>
      </c>
      <c r="AC52" s="18">
        <f t="shared" si="28"/>
        <v>0</v>
      </c>
      <c r="AD52" s="18">
        <f t="shared" si="29"/>
        <v>0</v>
      </c>
      <c r="AE52" s="18">
        <f t="shared" si="30"/>
        <v>0</v>
      </c>
      <c r="AF52" s="268">
        <f t="shared" si="31"/>
        <v>0</v>
      </c>
      <c r="AG52" s="25" t="str">
        <f t="shared" si="32"/>
        <v>-</v>
      </c>
    </row>
    <row r="53" spans="2:33" x14ac:dyDescent="0.25">
      <c r="B53" s="93"/>
      <c r="C53" s="166"/>
      <c r="D53" s="166"/>
      <c r="E53" s="166"/>
      <c r="F53" s="167"/>
      <c r="G53" s="167"/>
      <c r="H53" s="166"/>
      <c r="I53" s="166"/>
      <c r="J53" s="166"/>
      <c r="K53" s="167"/>
      <c r="L53" s="167"/>
      <c r="M53" s="166"/>
      <c r="N53" s="166"/>
      <c r="O53" s="166"/>
      <c r="P53" s="167"/>
      <c r="Q53" s="167"/>
      <c r="R53" s="166"/>
      <c r="S53" s="166"/>
      <c r="T53" s="166"/>
      <c r="U53" s="167"/>
      <c r="V53" s="167"/>
      <c r="W53" s="167"/>
      <c r="X53" s="167"/>
      <c r="Y53" s="167"/>
      <c r="Z53" s="167"/>
      <c r="AA53" s="167"/>
    </row>
    <row r="54" spans="2:33" x14ac:dyDescent="0.25">
      <c r="B54" s="93"/>
      <c r="C54" s="166"/>
      <c r="D54" s="166"/>
      <c r="E54" s="166"/>
      <c r="F54" s="167"/>
      <c r="G54" s="167"/>
      <c r="H54" s="166"/>
      <c r="I54" s="166"/>
      <c r="J54" s="166"/>
      <c r="K54" s="167"/>
      <c r="L54" s="167"/>
      <c r="M54" s="166"/>
      <c r="N54" s="166"/>
      <c r="O54" s="166"/>
      <c r="P54" s="167"/>
      <c r="Q54" s="167"/>
      <c r="R54" s="166"/>
      <c r="S54" s="166"/>
      <c r="T54" s="166"/>
      <c r="U54" s="167"/>
      <c r="V54" s="167"/>
      <c r="W54" s="167"/>
      <c r="X54" s="167"/>
      <c r="Y54" s="167"/>
      <c r="Z54" s="167"/>
      <c r="AA54" s="167"/>
    </row>
    <row r="55" spans="2:33" x14ac:dyDescent="0.25">
      <c r="B55" s="93"/>
      <c r="C55" s="166"/>
      <c r="D55" s="166"/>
      <c r="E55" s="166"/>
      <c r="F55" s="167"/>
      <c r="G55" s="167"/>
      <c r="H55" s="166"/>
      <c r="I55" s="166"/>
      <c r="J55" s="166"/>
      <c r="K55" s="167"/>
      <c r="L55" s="167"/>
      <c r="M55" s="166"/>
      <c r="N55" s="166"/>
      <c r="O55" s="166"/>
      <c r="P55" s="167"/>
      <c r="Q55" s="167"/>
      <c r="R55" s="166"/>
      <c r="S55" s="166"/>
      <c r="T55" s="166"/>
      <c r="U55" s="167"/>
      <c r="V55" s="167"/>
      <c r="W55" s="167"/>
      <c r="X55" s="167"/>
      <c r="Y55" s="167"/>
      <c r="Z55" s="167"/>
      <c r="AA55" s="167"/>
    </row>
    <row r="56" spans="2:33" x14ac:dyDescent="0.25">
      <c r="B56" s="93"/>
      <c r="C56" s="166"/>
      <c r="D56" s="166"/>
      <c r="E56" s="166"/>
      <c r="F56" s="167"/>
      <c r="G56" s="167"/>
      <c r="H56" s="166"/>
      <c r="I56" s="166"/>
      <c r="J56" s="166"/>
      <c r="K56" s="167"/>
      <c r="L56" s="167"/>
      <c r="M56" s="166"/>
      <c r="N56" s="166"/>
      <c r="O56" s="166"/>
      <c r="P56" s="167"/>
      <c r="Q56" s="167"/>
      <c r="R56" s="166"/>
      <c r="S56" s="166"/>
      <c r="T56" s="166"/>
      <c r="U56" s="167"/>
      <c r="V56" s="167"/>
      <c r="W56" s="167"/>
      <c r="X56" s="167"/>
      <c r="Y56" s="167"/>
      <c r="Z56" s="167"/>
      <c r="AA56" s="167"/>
    </row>
    <row r="57" spans="2:33" x14ac:dyDescent="0.25">
      <c r="B57" s="93"/>
      <c r="C57" s="166"/>
      <c r="D57" s="166"/>
      <c r="E57" s="166"/>
      <c r="F57" s="167"/>
      <c r="G57" s="167"/>
      <c r="H57" s="166"/>
      <c r="I57" s="166"/>
      <c r="J57" s="166"/>
      <c r="K57" s="167"/>
      <c r="L57" s="167"/>
      <c r="M57" s="166"/>
      <c r="N57" s="166"/>
      <c r="O57" s="166"/>
      <c r="P57" s="167"/>
      <c r="Q57" s="167"/>
      <c r="R57" s="166"/>
      <c r="S57" s="166"/>
      <c r="T57" s="166"/>
      <c r="U57" s="167"/>
      <c r="V57" s="167"/>
      <c r="W57" s="167"/>
      <c r="X57" s="167"/>
      <c r="Y57" s="167"/>
      <c r="Z57" s="167"/>
      <c r="AA57" s="167"/>
    </row>
  </sheetData>
  <sortState xmlns:xlrd2="http://schemas.microsoft.com/office/spreadsheetml/2017/richdata2" ref="B5:AA57">
    <sortCondition ref="B5:B57"/>
  </sortState>
  <mergeCells count="12">
    <mergeCell ref="B1:AG2"/>
    <mergeCell ref="AG3:AG4"/>
    <mergeCell ref="B3:B4"/>
    <mergeCell ref="C3:F3"/>
    <mergeCell ref="H3:K3"/>
    <mergeCell ref="M3:P3"/>
    <mergeCell ref="R3:U3"/>
    <mergeCell ref="W3:Z3"/>
    <mergeCell ref="AB3:AB4"/>
    <mergeCell ref="AC3:AC4"/>
    <mergeCell ref="AD3:AD4"/>
    <mergeCell ref="AE3:AE4"/>
  </mergeCells>
  <conditionalFormatting sqref="AB5:AB52">
    <cfRule type="dataBar" priority="7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{FF1D2AE1-76AA-4717-A665-43837587E1A2}</x14:id>
        </ext>
      </extLst>
    </cfRule>
  </conditionalFormatting>
  <conditionalFormatting sqref="AC3:AC1048576">
    <cfRule type="top10" dxfId="90" priority="7" rank="1"/>
    <cfRule type="top10" dxfId="89" priority="8" rank="5"/>
  </conditionalFormatting>
  <conditionalFormatting sqref="AD3:AF3 AD4 AD5:AF1048576">
    <cfRule type="top10" dxfId="88" priority="5" rank="1"/>
    <cfRule type="top10" dxfId="87" priority="6" rank="5"/>
  </conditionalFormatting>
  <conditionalFormatting sqref="AG3:AG1048576">
    <cfRule type="top10" dxfId="86" priority="3" rank="1"/>
    <cfRule type="top10" dxfId="85" priority="4" rank="5"/>
  </conditionalFormatting>
  <pageMargins left="0.511811024" right="0.511811024" top="0.78740157499999996" bottom="0.78740157499999996" header="0.31496062000000002" footer="0.31496062000000002"/>
  <pageSetup paperSize="9" orientation="portrait" horizontalDpi="4294967292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1D2AE1-76AA-4717-A665-43837587E1A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AB5:AB52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D1D49-FCD2-4503-ACAC-EA402E248DD7}">
  <sheetPr codeName="Planilha8"/>
  <dimension ref="A1:AS57"/>
  <sheetViews>
    <sheetView showGridLines="0" topLeftCell="N1" zoomScale="75" zoomScaleNormal="75" workbookViewId="0">
      <pane ySplit="4" topLeftCell="A5" activePane="bottomLeft" state="frozen"/>
      <selection activeCell="B47" sqref="B47"/>
      <selection pane="bottomLeft" activeCell="B47" sqref="B47"/>
    </sheetView>
  </sheetViews>
  <sheetFormatPr defaultRowHeight="15" x14ac:dyDescent="0.25"/>
  <cols>
    <col min="1" max="1" width="7.140625" customWidth="1"/>
    <col min="2" max="2" width="28.42578125" style="6" customWidth="1"/>
    <col min="3" max="3" width="9.140625" customWidth="1"/>
    <col min="6" max="7" width="9.140625" style="5"/>
    <col min="11" max="12" width="9.140625" style="5"/>
    <col min="16" max="17" width="9.140625" style="5"/>
    <col min="21" max="27" width="9.140625" style="5"/>
    <col min="28" max="28" width="14.7109375" customWidth="1"/>
    <col min="29" max="29" width="14.5703125" style="2" customWidth="1"/>
    <col min="30" max="30" width="13.85546875" style="2" customWidth="1"/>
    <col min="31" max="32" width="6.140625" style="2" customWidth="1"/>
    <col min="33" max="33" width="13.5703125" style="5" customWidth="1"/>
  </cols>
  <sheetData>
    <row r="1" spans="1:33" ht="15" customHeight="1" x14ac:dyDescent="0.25">
      <c r="B1" s="271" t="s">
        <v>42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</row>
    <row r="2" spans="1:33" ht="15" customHeight="1" thickBot="1" x14ac:dyDescent="0.3">
      <c r="A2" s="1"/>
      <c r="B2" s="274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75"/>
      <c r="AC2" s="275"/>
      <c r="AD2" s="275"/>
      <c r="AE2" s="275"/>
      <c r="AF2" s="275"/>
      <c r="AG2" s="275"/>
    </row>
    <row r="3" spans="1:33" x14ac:dyDescent="0.25">
      <c r="B3" s="310" t="s">
        <v>0</v>
      </c>
      <c r="C3" s="285">
        <v>45811</v>
      </c>
      <c r="D3" s="286"/>
      <c r="E3" s="286"/>
      <c r="F3" s="307"/>
      <c r="G3" s="118"/>
      <c r="H3" s="287">
        <f>C3+7</f>
        <v>45818</v>
      </c>
      <c r="I3" s="288"/>
      <c r="J3" s="288"/>
      <c r="K3" s="289"/>
      <c r="L3" s="162"/>
      <c r="M3" s="290">
        <f>H3+7</f>
        <v>45825</v>
      </c>
      <c r="N3" s="290"/>
      <c r="O3" s="290"/>
      <c r="P3" s="308"/>
      <c r="Q3" s="119"/>
      <c r="R3" s="291">
        <f>M3+7</f>
        <v>45832</v>
      </c>
      <c r="S3" s="292"/>
      <c r="T3" s="292"/>
      <c r="U3" s="293"/>
      <c r="V3" s="163"/>
      <c r="W3" s="294" t="s">
        <v>41</v>
      </c>
      <c r="X3" s="294"/>
      <c r="Y3" s="294"/>
      <c r="Z3" s="295"/>
      <c r="AA3" s="124"/>
      <c r="AB3" s="279" t="s">
        <v>45</v>
      </c>
      <c r="AC3" s="281" t="s">
        <v>46</v>
      </c>
      <c r="AD3" s="281" t="s">
        <v>47</v>
      </c>
      <c r="AE3" s="281" t="s">
        <v>72</v>
      </c>
      <c r="AF3" s="160"/>
      <c r="AG3" s="299" t="s">
        <v>48</v>
      </c>
    </row>
    <row r="4" spans="1:33" ht="15.75" thickBot="1" x14ac:dyDescent="0.3">
      <c r="B4" s="311"/>
      <c r="C4" s="191" t="s">
        <v>49</v>
      </c>
      <c r="D4" s="192" t="s">
        <v>43</v>
      </c>
      <c r="E4" s="192" t="s">
        <v>2</v>
      </c>
      <c r="F4" s="194" t="s">
        <v>40</v>
      </c>
      <c r="G4" s="209"/>
      <c r="H4" s="195" t="s">
        <v>49</v>
      </c>
      <c r="I4" s="196" t="s">
        <v>43</v>
      </c>
      <c r="J4" s="196" t="s">
        <v>2</v>
      </c>
      <c r="K4" s="198" t="s">
        <v>40</v>
      </c>
      <c r="L4" s="248"/>
      <c r="M4" s="214" t="s">
        <v>49</v>
      </c>
      <c r="N4" s="199" t="s">
        <v>44</v>
      </c>
      <c r="O4" s="199" t="s">
        <v>2</v>
      </c>
      <c r="P4" s="201" t="s">
        <v>40</v>
      </c>
      <c r="Q4" s="210"/>
      <c r="R4" s="202" t="s">
        <v>49</v>
      </c>
      <c r="S4" s="203" t="s">
        <v>43</v>
      </c>
      <c r="T4" s="203" t="s">
        <v>2</v>
      </c>
      <c r="U4" s="205" t="s">
        <v>40</v>
      </c>
      <c r="V4" s="264"/>
      <c r="W4" s="262" t="s">
        <v>49</v>
      </c>
      <c r="X4" s="211" t="s">
        <v>43</v>
      </c>
      <c r="Y4" s="211" t="s">
        <v>2</v>
      </c>
      <c r="Z4" s="212" t="s">
        <v>40</v>
      </c>
      <c r="AA4" s="213"/>
      <c r="AB4" s="280"/>
      <c r="AC4" s="282"/>
      <c r="AD4" s="282"/>
      <c r="AE4" s="282"/>
      <c r="AF4" s="161"/>
      <c r="AG4" s="309"/>
    </row>
    <row r="5" spans="1:33" x14ac:dyDescent="0.25">
      <c r="B5" s="236" t="s">
        <v>3</v>
      </c>
      <c r="C5" s="165"/>
      <c r="D5" s="186"/>
      <c r="E5" s="186"/>
      <c r="F5" s="188"/>
      <c r="G5" s="233"/>
      <c r="H5" s="165" t="s">
        <v>50</v>
      </c>
      <c r="I5" s="186">
        <v>0</v>
      </c>
      <c r="J5" s="186">
        <v>0</v>
      </c>
      <c r="K5" s="188">
        <v>3.6</v>
      </c>
      <c r="L5" s="234"/>
      <c r="M5" s="235" t="s">
        <v>50</v>
      </c>
      <c r="N5" s="186">
        <v>0</v>
      </c>
      <c r="O5" s="186">
        <v>1</v>
      </c>
      <c r="P5" s="188">
        <v>6.06</v>
      </c>
      <c r="Q5" s="233"/>
      <c r="R5" s="165" t="s">
        <v>50</v>
      </c>
      <c r="S5" s="186">
        <v>1</v>
      </c>
      <c r="T5" s="186">
        <v>1</v>
      </c>
      <c r="U5" s="188">
        <v>6.16</v>
      </c>
      <c r="V5" s="234" t="s">
        <v>76</v>
      </c>
      <c r="W5" s="260"/>
      <c r="X5" s="224"/>
      <c r="Y5" s="224"/>
      <c r="Z5" s="188"/>
      <c r="AA5" s="234"/>
      <c r="AB5" s="66">
        <f>COUNTIF(C5:Z5,"P")</f>
        <v>3</v>
      </c>
      <c r="AC5" s="27">
        <f t="shared" ref="AC5:AC46" si="0">SUM(D5,I5,N5,S5,X5)</f>
        <v>1</v>
      </c>
      <c r="AD5" s="27">
        <f t="shared" ref="AD5:AD46" si="1">SUM(E5,J5,O5,T5,Y5)</f>
        <v>2</v>
      </c>
      <c r="AE5" s="27">
        <f>SUM(AC5+AD5)</f>
        <v>3</v>
      </c>
      <c r="AF5" s="27">
        <f>COUNTIF(G5:AA5,"F")</f>
        <v>1</v>
      </c>
      <c r="AG5" s="28">
        <f>IFERROR(AVERAGE(F5,K5,P5,U5,Z5),"-")</f>
        <v>5.2733333333333334</v>
      </c>
    </row>
    <row r="6" spans="1:33" x14ac:dyDescent="0.25">
      <c r="B6" s="236" t="s">
        <v>4</v>
      </c>
      <c r="C6" s="9"/>
      <c r="D6" s="159"/>
      <c r="E6" s="159"/>
      <c r="F6" s="10"/>
      <c r="G6" s="121"/>
      <c r="H6" s="9"/>
      <c r="I6" s="159"/>
      <c r="J6" s="159"/>
      <c r="K6" s="10"/>
      <c r="L6" s="128"/>
      <c r="M6" s="23"/>
      <c r="N6" s="159"/>
      <c r="O6" s="159"/>
      <c r="P6" s="10"/>
      <c r="Q6" s="121"/>
      <c r="R6" s="9"/>
      <c r="S6" s="159"/>
      <c r="T6" s="159"/>
      <c r="U6" s="10"/>
      <c r="V6" s="128"/>
      <c r="W6" s="259"/>
      <c r="X6" s="4"/>
      <c r="Y6" s="4"/>
      <c r="Z6" s="10"/>
      <c r="AA6" s="125"/>
      <c r="AB6" s="26">
        <f t="shared" ref="AB6:AB46" si="2">COUNTIF(C6:Z6,"P")</f>
        <v>0</v>
      </c>
      <c r="AC6" s="17">
        <f t="shared" si="0"/>
        <v>0</v>
      </c>
      <c r="AD6" s="17">
        <f t="shared" si="1"/>
        <v>0</v>
      </c>
      <c r="AE6" s="27">
        <f t="shared" ref="AE6:AE46" si="3">SUM(AC6+AD6)</f>
        <v>0</v>
      </c>
      <c r="AF6" s="27">
        <f t="shared" ref="AF6:AF49" si="4">COUNTIF(G6:AA6,"F")</f>
        <v>0</v>
      </c>
      <c r="AG6" s="19" t="str">
        <f t="shared" ref="AG6:AG46" si="5">IFERROR(AVERAGE(F6,K6,P6,U6,Z6),"-")</f>
        <v>-</v>
      </c>
    </row>
    <row r="7" spans="1:33" x14ac:dyDescent="0.25">
      <c r="B7" s="236" t="s">
        <v>5</v>
      </c>
      <c r="C7" s="9"/>
      <c r="D7" s="159"/>
      <c r="E7" s="159"/>
      <c r="F7" s="10"/>
      <c r="G7" s="121"/>
      <c r="H7" s="9"/>
      <c r="I7" s="159"/>
      <c r="J7" s="159"/>
      <c r="K7" s="10"/>
      <c r="L7" s="128"/>
      <c r="M7" s="23"/>
      <c r="N7" s="159"/>
      <c r="O7" s="159"/>
      <c r="P7" s="10"/>
      <c r="Q7" s="121"/>
      <c r="R7" s="9"/>
      <c r="S7" s="159"/>
      <c r="T7" s="159"/>
      <c r="U7" s="10"/>
      <c r="V7" s="128"/>
      <c r="W7" s="259"/>
      <c r="X7" s="4"/>
      <c r="Y7" s="4"/>
      <c r="Z7" s="10"/>
      <c r="AA7" s="125"/>
      <c r="AB7" s="26">
        <f t="shared" si="2"/>
        <v>0</v>
      </c>
      <c r="AC7" s="17">
        <f t="shared" si="0"/>
        <v>0</v>
      </c>
      <c r="AD7" s="17">
        <f t="shared" si="1"/>
        <v>0</v>
      </c>
      <c r="AE7" s="27">
        <f t="shared" si="3"/>
        <v>0</v>
      </c>
      <c r="AF7" s="27">
        <f t="shared" si="4"/>
        <v>0</v>
      </c>
      <c r="AG7" s="19" t="str">
        <f t="shared" si="5"/>
        <v>-</v>
      </c>
    </row>
    <row r="8" spans="1:33" x14ac:dyDescent="0.25">
      <c r="B8" s="236" t="s">
        <v>74</v>
      </c>
      <c r="C8" s="9"/>
      <c r="D8" s="159"/>
      <c r="E8" s="159"/>
      <c r="F8" s="10"/>
      <c r="G8" s="121" t="s">
        <v>76</v>
      </c>
      <c r="H8" s="9"/>
      <c r="I8" s="159"/>
      <c r="J8" s="159"/>
      <c r="K8" s="10"/>
      <c r="L8" s="128"/>
      <c r="M8" s="23"/>
      <c r="N8" s="159"/>
      <c r="O8" s="159"/>
      <c r="P8" s="10"/>
      <c r="Q8" s="121"/>
      <c r="R8" s="9"/>
      <c r="S8" s="159"/>
      <c r="T8" s="159"/>
      <c r="U8" s="10"/>
      <c r="V8" s="128"/>
      <c r="W8" s="259"/>
      <c r="X8" s="4"/>
      <c r="Y8" s="4"/>
      <c r="Z8" s="10"/>
      <c r="AA8" s="125"/>
      <c r="AB8" s="26">
        <f t="shared" si="2"/>
        <v>0</v>
      </c>
      <c r="AC8" s="17">
        <f t="shared" si="0"/>
        <v>0</v>
      </c>
      <c r="AD8" s="17">
        <f t="shared" si="1"/>
        <v>0</v>
      </c>
      <c r="AE8" s="27">
        <f t="shared" si="3"/>
        <v>0</v>
      </c>
      <c r="AF8" s="27">
        <f t="shared" si="4"/>
        <v>1</v>
      </c>
      <c r="AG8" s="19" t="str">
        <f t="shared" si="5"/>
        <v>-</v>
      </c>
    </row>
    <row r="9" spans="1:33" x14ac:dyDescent="0.25">
      <c r="B9" s="236" t="s">
        <v>6</v>
      </c>
      <c r="C9" s="9"/>
      <c r="D9" s="159"/>
      <c r="E9" s="159"/>
      <c r="F9" s="10"/>
      <c r="G9" s="121"/>
      <c r="H9" s="9"/>
      <c r="I9" s="159"/>
      <c r="J9" s="159"/>
      <c r="K9" s="10"/>
      <c r="L9" s="128"/>
      <c r="M9" s="23" t="s">
        <v>50</v>
      </c>
      <c r="N9" s="159">
        <v>1</v>
      </c>
      <c r="O9" s="159">
        <v>0</v>
      </c>
      <c r="P9" s="10">
        <v>5.4</v>
      </c>
      <c r="Q9" s="121"/>
      <c r="R9" s="9" t="s">
        <v>50</v>
      </c>
      <c r="S9" s="159">
        <v>2</v>
      </c>
      <c r="T9" s="159">
        <v>1</v>
      </c>
      <c r="U9" s="10">
        <v>6</v>
      </c>
      <c r="V9" s="128"/>
      <c r="W9" s="259"/>
      <c r="X9" s="4"/>
      <c r="Y9" s="4"/>
      <c r="Z9" s="10"/>
      <c r="AA9" s="125"/>
      <c r="AB9" s="26">
        <f t="shared" si="2"/>
        <v>2</v>
      </c>
      <c r="AC9" s="17">
        <f t="shared" si="0"/>
        <v>3</v>
      </c>
      <c r="AD9" s="17">
        <f t="shared" si="1"/>
        <v>1</v>
      </c>
      <c r="AE9" s="27">
        <f t="shared" si="3"/>
        <v>4</v>
      </c>
      <c r="AF9" s="27">
        <f t="shared" si="4"/>
        <v>0</v>
      </c>
      <c r="AG9" s="19">
        <f t="shared" si="5"/>
        <v>5.7</v>
      </c>
    </row>
    <row r="10" spans="1:33" x14ac:dyDescent="0.25">
      <c r="B10" s="236" t="s">
        <v>7</v>
      </c>
      <c r="C10" s="9" t="s">
        <v>50</v>
      </c>
      <c r="D10" s="159">
        <v>0</v>
      </c>
      <c r="E10" s="159">
        <v>0</v>
      </c>
      <c r="F10" s="10">
        <v>7.46</v>
      </c>
      <c r="G10" s="121"/>
      <c r="H10" s="9"/>
      <c r="I10" s="159"/>
      <c r="J10" s="159"/>
      <c r="K10" s="10"/>
      <c r="L10" s="128"/>
      <c r="M10" s="23" t="s">
        <v>50</v>
      </c>
      <c r="N10" s="159">
        <v>0</v>
      </c>
      <c r="O10" s="159">
        <v>0</v>
      </c>
      <c r="P10" s="10">
        <v>6.74</v>
      </c>
      <c r="Q10" s="121"/>
      <c r="R10" s="9" t="s">
        <v>50</v>
      </c>
      <c r="S10" s="159">
        <v>0</v>
      </c>
      <c r="T10" s="159">
        <v>0</v>
      </c>
      <c r="U10" s="10" t="s">
        <v>41</v>
      </c>
      <c r="V10" s="128"/>
      <c r="W10" s="259"/>
      <c r="X10" s="4"/>
      <c r="Y10" s="4"/>
      <c r="Z10" s="10"/>
      <c r="AA10" s="125"/>
      <c r="AB10" s="26">
        <f t="shared" si="2"/>
        <v>3</v>
      </c>
      <c r="AC10" s="17">
        <f t="shared" si="0"/>
        <v>0</v>
      </c>
      <c r="AD10" s="17">
        <f t="shared" si="1"/>
        <v>0</v>
      </c>
      <c r="AE10" s="27">
        <f t="shared" si="3"/>
        <v>0</v>
      </c>
      <c r="AF10" s="27">
        <f t="shared" si="4"/>
        <v>0</v>
      </c>
      <c r="AG10" s="19">
        <f t="shared" si="5"/>
        <v>7.1</v>
      </c>
    </row>
    <row r="11" spans="1:33" x14ac:dyDescent="0.25">
      <c r="B11" s="236" t="s">
        <v>8</v>
      </c>
      <c r="C11" s="9" t="s">
        <v>50</v>
      </c>
      <c r="D11" s="159">
        <v>2</v>
      </c>
      <c r="E11" s="159">
        <v>0</v>
      </c>
      <c r="F11" s="10">
        <v>7.74</v>
      </c>
      <c r="G11" s="121" t="s">
        <v>76</v>
      </c>
      <c r="H11" s="9" t="s">
        <v>50</v>
      </c>
      <c r="I11" s="159">
        <v>2</v>
      </c>
      <c r="J11" s="159">
        <v>4</v>
      </c>
      <c r="K11" s="10">
        <v>7.14</v>
      </c>
      <c r="L11" s="128"/>
      <c r="M11" s="23" t="s">
        <v>50</v>
      </c>
      <c r="N11" s="159">
        <v>1</v>
      </c>
      <c r="O11" s="159">
        <v>1</v>
      </c>
      <c r="P11" s="10">
        <v>6.34</v>
      </c>
      <c r="Q11" s="121"/>
      <c r="R11" s="9"/>
      <c r="S11" s="159"/>
      <c r="T11" s="159"/>
      <c r="U11" s="10"/>
      <c r="V11" s="128"/>
      <c r="W11" s="259"/>
      <c r="X11" s="4"/>
      <c r="Y11" s="4"/>
      <c r="Z11" s="10"/>
      <c r="AA11" s="125"/>
      <c r="AB11" s="26">
        <f t="shared" si="2"/>
        <v>3</v>
      </c>
      <c r="AC11" s="17">
        <f t="shared" si="0"/>
        <v>5</v>
      </c>
      <c r="AD11" s="17">
        <f t="shared" si="1"/>
        <v>5</v>
      </c>
      <c r="AE11" s="27">
        <f t="shared" si="3"/>
        <v>10</v>
      </c>
      <c r="AF11" s="27">
        <f t="shared" si="4"/>
        <v>1</v>
      </c>
      <c r="AG11" s="19">
        <f t="shared" si="5"/>
        <v>7.0733333333333333</v>
      </c>
    </row>
    <row r="12" spans="1:33" x14ac:dyDescent="0.25">
      <c r="B12" s="236" t="s">
        <v>9</v>
      </c>
      <c r="C12" s="9" t="s">
        <v>50</v>
      </c>
      <c r="D12" s="159">
        <v>0</v>
      </c>
      <c r="E12" s="159">
        <v>1</v>
      </c>
      <c r="F12" s="10">
        <v>2.8</v>
      </c>
      <c r="G12" s="121"/>
      <c r="H12" s="9" t="s">
        <v>50</v>
      </c>
      <c r="I12" s="159">
        <v>1</v>
      </c>
      <c r="J12" s="159">
        <v>0</v>
      </c>
      <c r="K12" s="10">
        <v>3.72</v>
      </c>
      <c r="L12" s="128"/>
      <c r="M12" s="23" t="s">
        <v>50</v>
      </c>
      <c r="N12" s="159">
        <v>5</v>
      </c>
      <c r="O12" s="159">
        <v>2</v>
      </c>
      <c r="P12" s="10">
        <v>7.8</v>
      </c>
      <c r="Q12" s="121" t="s">
        <v>76</v>
      </c>
      <c r="R12" s="9" t="s">
        <v>50</v>
      </c>
      <c r="S12" s="159">
        <v>2</v>
      </c>
      <c r="T12" s="159">
        <v>0</v>
      </c>
      <c r="U12" s="10">
        <v>6.06</v>
      </c>
      <c r="V12" s="128"/>
      <c r="W12" s="259"/>
      <c r="X12" s="4"/>
      <c r="Y12" s="4"/>
      <c r="Z12" s="10"/>
      <c r="AA12" s="125"/>
      <c r="AB12" s="26">
        <f t="shared" si="2"/>
        <v>4</v>
      </c>
      <c r="AC12" s="17">
        <f t="shared" si="0"/>
        <v>8</v>
      </c>
      <c r="AD12" s="17">
        <f t="shared" si="1"/>
        <v>3</v>
      </c>
      <c r="AE12" s="27">
        <f t="shared" si="3"/>
        <v>11</v>
      </c>
      <c r="AF12" s="27">
        <f t="shared" si="4"/>
        <v>1</v>
      </c>
      <c r="AG12" s="19">
        <f t="shared" si="5"/>
        <v>5.0949999999999998</v>
      </c>
    </row>
    <row r="13" spans="1:33" x14ac:dyDescent="0.25">
      <c r="B13" s="236" t="s">
        <v>10</v>
      </c>
      <c r="C13" s="9" t="s">
        <v>50</v>
      </c>
      <c r="D13" s="159">
        <v>0</v>
      </c>
      <c r="E13" s="159">
        <v>0</v>
      </c>
      <c r="F13" s="10">
        <v>3.46</v>
      </c>
      <c r="G13" s="121"/>
      <c r="H13" s="9" t="s">
        <v>50</v>
      </c>
      <c r="I13" s="159">
        <v>0</v>
      </c>
      <c r="J13" s="159">
        <v>0</v>
      </c>
      <c r="K13" s="10">
        <v>4.08</v>
      </c>
      <c r="L13" s="128"/>
      <c r="M13" s="23" t="s">
        <v>50</v>
      </c>
      <c r="N13" s="159">
        <v>0</v>
      </c>
      <c r="O13" s="159">
        <v>2</v>
      </c>
      <c r="P13" s="10">
        <v>6.6</v>
      </c>
      <c r="Q13" s="121" t="s">
        <v>76</v>
      </c>
      <c r="R13" s="9" t="s">
        <v>50</v>
      </c>
      <c r="S13" s="159">
        <v>0</v>
      </c>
      <c r="T13" s="159">
        <v>1</v>
      </c>
      <c r="U13" s="10">
        <v>5.28</v>
      </c>
      <c r="V13" s="128"/>
      <c r="W13" s="259"/>
      <c r="X13" s="4"/>
      <c r="Y13" s="4"/>
      <c r="Z13" s="10"/>
      <c r="AA13" s="125"/>
      <c r="AB13" s="26">
        <f t="shared" si="2"/>
        <v>4</v>
      </c>
      <c r="AC13" s="17">
        <f t="shared" si="0"/>
        <v>0</v>
      </c>
      <c r="AD13" s="17">
        <f t="shared" si="1"/>
        <v>3</v>
      </c>
      <c r="AE13" s="27">
        <f t="shared" si="3"/>
        <v>3</v>
      </c>
      <c r="AF13" s="27">
        <f t="shared" si="4"/>
        <v>1</v>
      </c>
      <c r="AG13" s="19">
        <f t="shared" si="5"/>
        <v>4.8550000000000004</v>
      </c>
    </row>
    <row r="14" spans="1:33" x14ac:dyDescent="0.25">
      <c r="B14" s="236" t="s">
        <v>11</v>
      </c>
      <c r="C14" s="9"/>
      <c r="D14" s="159"/>
      <c r="E14" s="159"/>
      <c r="F14" s="10"/>
      <c r="G14" s="121"/>
      <c r="H14" s="9"/>
      <c r="I14" s="159"/>
      <c r="J14" s="159"/>
      <c r="K14" s="10"/>
      <c r="L14" s="128"/>
      <c r="M14" s="23"/>
      <c r="N14" s="159"/>
      <c r="O14" s="159"/>
      <c r="P14" s="10"/>
      <c r="Q14" s="121"/>
      <c r="R14" s="9" t="s">
        <v>50</v>
      </c>
      <c r="S14" s="159">
        <v>0</v>
      </c>
      <c r="T14" s="159">
        <v>0</v>
      </c>
      <c r="U14" s="10">
        <v>5.56</v>
      </c>
      <c r="V14" s="128"/>
      <c r="W14" s="259"/>
      <c r="X14" s="4"/>
      <c r="Y14" s="4"/>
      <c r="Z14" s="10"/>
      <c r="AA14" s="125"/>
      <c r="AB14" s="26">
        <f t="shared" si="2"/>
        <v>1</v>
      </c>
      <c r="AC14" s="17">
        <f t="shared" si="0"/>
        <v>0</v>
      </c>
      <c r="AD14" s="17">
        <f t="shared" si="1"/>
        <v>0</v>
      </c>
      <c r="AE14" s="27">
        <f t="shared" si="3"/>
        <v>0</v>
      </c>
      <c r="AF14" s="27">
        <f t="shared" si="4"/>
        <v>0</v>
      </c>
      <c r="AG14" s="19">
        <f t="shared" si="5"/>
        <v>5.56</v>
      </c>
    </row>
    <row r="15" spans="1:33" x14ac:dyDescent="0.25">
      <c r="B15" s="237" t="s">
        <v>83</v>
      </c>
      <c r="C15" s="9"/>
      <c r="D15" s="159"/>
      <c r="E15" s="159"/>
      <c r="F15" s="10"/>
      <c r="G15" s="121"/>
      <c r="H15" s="9"/>
      <c r="I15" s="159"/>
      <c r="J15" s="159"/>
      <c r="K15" s="10"/>
      <c r="L15" s="128"/>
      <c r="M15" s="23"/>
      <c r="N15" s="159"/>
      <c r="O15" s="159"/>
      <c r="P15" s="10"/>
      <c r="Q15" s="121"/>
      <c r="R15" s="9"/>
      <c r="S15" s="159"/>
      <c r="T15" s="159"/>
      <c r="U15" s="10"/>
      <c r="V15" s="128"/>
      <c r="W15" s="259"/>
      <c r="X15" s="4"/>
      <c r="Y15" s="4"/>
      <c r="Z15" s="10"/>
      <c r="AA15" s="125"/>
      <c r="AB15" s="26">
        <f t="shared" si="2"/>
        <v>0</v>
      </c>
      <c r="AC15" s="17">
        <f t="shared" si="0"/>
        <v>0</v>
      </c>
      <c r="AD15" s="17">
        <f t="shared" si="1"/>
        <v>0</v>
      </c>
      <c r="AE15" s="27">
        <f t="shared" si="3"/>
        <v>0</v>
      </c>
      <c r="AF15" s="27">
        <f t="shared" si="4"/>
        <v>0</v>
      </c>
      <c r="AG15" s="19" t="str">
        <f t="shared" si="5"/>
        <v>-</v>
      </c>
    </row>
    <row r="16" spans="1:33" x14ac:dyDescent="0.25">
      <c r="B16" s="236" t="s">
        <v>12</v>
      </c>
      <c r="C16" s="9" t="s">
        <v>50</v>
      </c>
      <c r="D16" s="159">
        <v>0</v>
      </c>
      <c r="E16" s="159">
        <v>0</v>
      </c>
      <c r="F16" s="10">
        <v>7.66</v>
      </c>
      <c r="G16" s="121"/>
      <c r="H16" s="9" t="s">
        <v>50</v>
      </c>
      <c r="I16" s="159">
        <v>0</v>
      </c>
      <c r="J16" s="159">
        <v>0</v>
      </c>
      <c r="K16" s="10">
        <v>7.78</v>
      </c>
      <c r="L16" s="128" t="s">
        <v>76</v>
      </c>
      <c r="M16" s="23" t="s">
        <v>50</v>
      </c>
      <c r="N16" s="159">
        <v>0</v>
      </c>
      <c r="O16" s="159">
        <v>0</v>
      </c>
      <c r="P16" s="10">
        <v>7.74</v>
      </c>
      <c r="Q16" s="121" t="s">
        <v>76</v>
      </c>
      <c r="R16" s="9" t="s">
        <v>50</v>
      </c>
      <c r="S16" s="159">
        <v>0</v>
      </c>
      <c r="T16" s="159">
        <v>0</v>
      </c>
      <c r="U16" s="10" t="s">
        <v>41</v>
      </c>
      <c r="V16" s="128"/>
      <c r="W16" s="259"/>
      <c r="X16" s="4"/>
      <c r="Y16" s="4"/>
      <c r="Z16" s="10"/>
      <c r="AA16" s="125"/>
      <c r="AB16" s="26">
        <f t="shared" si="2"/>
        <v>4</v>
      </c>
      <c r="AC16" s="17">
        <f t="shared" si="0"/>
        <v>0</v>
      </c>
      <c r="AD16" s="17">
        <f t="shared" si="1"/>
        <v>0</v>
      </c>
      <c r="AE16" s="27">
        <f t="shared" si="3"/>
        <v>0</v>
      </c>
      <c r="AF16" s="27">
        <f t="shared" si="4"/>
        <v>2</v>
      </c>
      <c r="AG16" s="19">
        <f t="shared" si="5"/>
        <v>7.7266666666666666</v>
      </c>
    </row>
    <row r="17" spans="2:33" x14ac:dyDescent="0.25">
      <c r="B17" s="236" t="s">
        <v>56</v>
      </c>
      <c r="C17" s="9" t="s">
        <v>50</v>
      </c>
      <c r="D17" s="159">
        <v>0</v>
      </c>
      <c r="E17" s="159">
        <v>0</v>
      </c>
      <c r="F17" s="10">
        <v>4.32</v>
      </c>
      <c r="G17" s="121"/>
      <c r="H17" s="9" t="s">
        <v>50</v>
      </c>
      <c r="I17" s="159">
        <v>0</v>
      </c>
      <c r="J17" s="159">
        <v>0</v>
      </c>
      <c r="K17" s="10">
        <v>5.08</v>
      </c>
      <c r="L17" s="128"/>
      <c r="M17" s="23" t="s">
        <v>50</v>
      </c>
      <c r="N17" s="159">
        <v>0</v>
      </c>
      <c r="O17" s="159">
        <v>0</v>
      </c>
      <c r="P17" s="10">
        <v>4.76</v>
      </c>
      <c r="Q17" s="121"/>
      <c r="R17" s="9" t="s">
        <v>50</v>
      </c>
      <c r="S17" s="159">
        <v>0</v>
      </c>
      <c r="T17" s="159">
        <v>0</v>
      </c>
      <c r="U17" s="10" t="s">
        <v>41</v>
      </c>
      <c r="V17" s="128"/>
      <c r="W17" s="259"/>
      <c r="X17" s="4"/>
      <c r="Y17" s="4"/>
      <c r="Z17" s="10"/>
      <c r="AA17" s="125"/>
      <c r="AB17" s="26">
        <f t="shared" si="2"/>
        <v>4</v>
      </c>
      <c r="AC17" s="17">
        <f t="shared" si="0"/>
        <v>0</v>
      </c>
      <c r="AD17" s="17">
        <f t="shared" si="1"/>
        <v>0</v>
      </c>
      <c r="AE17" s="27">
        <f t="shared" si="3"/>
        <v>0</v>
      </c>
      <c r="AF17" s="27">
        <f t="shared" si="4"/>
        <v>0</v>
      </c>
      <c r="AG17" s="19">
        <f t="shared" si="5"/>
        <v>4.72</v>
      </c>
    </row>
    <row r="18" spans="2:33" x14ac:dyDescent="0.25">
      <c r="B18" s="236" t="s">
        <v>13</v>
      </c>
      <c r="C18" s="9"/>
      <c r="D18" s="159"/>
      <c r="E18" s="159"/>
      <c r="F18" s="10"/>
      <c r="G18" s="121"/>
      <c r="H18" s="9"/>
      <c r="I18" s="159"/>
      <c r="J18" s="159"/>
      <c r="K18" s="10"/>
      <c r="L18" s="128"/>
      <c r="M18" s="23"/>
      <c r="N18" s="159"/>
      <c r="O18" s="159"/>
      <c r="P18" s="10"/>
      <c r="Q18" s="121"/>
      <c r="R18" s="9"/>
      <c r="S18" s="159"/>
      <c r="T18" s="159"/>
      <c r="U18" s="10"/>
      <c r="V18" s="128"/>
      <c r="W18" s="259"/>
      <c r="X18" s="4"/>
      <c r="Y18" s="4"/>
      <c r="Z18" s="10"/>
      <c r="AA18" s="125"/>
      <c r="AB18" s="26">
        <f t="shared" si="2"/>
        <v>0</v>
      </c>
      <c r="AC18" s="17">
        <f t="shared" si="0"/>
        <v>0</v>
      </c>
      <c r="AD18" s="17">
        <f t="shared" si="1"/>
        <v>0</v>
      </c>
      <c r="AE18" s="27">
        <f t="shared" si="3"/>
        <v>0</v>
      </c>
      <c r="AF18" s="27">
        <f t="shared" si="4"/>
        <v>0</v>
      </c>
      <c r="AG18" s="19" t="str">
        <f t="shared" si="5"/>
        <v>-</v>
      </c>
    </row>
    <row r="19" spans="2:33" x14ac:dyDescent="0.25">
      <c r="B19" s="236" t="s">
        <v>14</v>
      </c>
      <c r="C19" s="9" t="s">
        <v>50</v>
      </c>
      <c r="D19" s="159">
        <v>2</v>
      </c>
      <c r="E19" s="159">
        <v>0</v>
      </c>
      <c r="F19" s="10">
        <v>6.46</v>
      </c>
      <c r="G19" s="121"/>
      <c r="H19" s="9"/>
      <c r="I19" s="159"/>
      <c r="J19" s="159"/>
      <c r="K19" s="10"/>
      <c r="L19" s="128"/>
      <c r="M19" s="23" t="s">
        <v>50</v>
      </c>
      <c r="N19" s="159">
        <v>0</v>
      </c>
      <c r="O19" s="159">
        <v>1</v>
      </c>
      <c r="P19" s="10">
        <v>4.4000000000000004</v>
      </c>
      <c r="Q19" s="121"/>
      <c r="R19" s="9"/>
      <c r="S19" s="159"/>
      <c r="T19" s="159"/>
      <c r="U19" s="10"/>
      <c r="V19" s="128"/>
      <c r="W19" s="259"/>
      <c r="X19" s="4"/>
      <c r="Y19" s="4"/>
      <c r="Z19" s="10"/>
      <c r="AA19" s="125"/>
      <c r="AB19" s="26">
        <f t="shared" si="2"/>
        <v>2</v>
      </c>
      <c r="AC19" s="17">
        <f t="shared" si="0"/>
        <v>2</v>
      </c>
      <c r="AD19" s="17">
        <f t="shared" si="1"/>
        <v>1</v>
      </c>
      <c r="AE19" s="27">
        <f t="shared" si="3"/>
        <v>3</v>
      </c>
      <c r="AF19" s="27">
        <f t="shared" si="4"/>
        <v>0</v>
      </c>
      <c r="AG19" s="19">
        <f t="shared" si="5"/>
        <v>5.43</v>
      </c>
    </row>
    <row r="20" spans="2:33" x14ac:dyDescent="0.25">
      <c r="B20" s="237" t="s">
        <v>86</v>
      </c>
      <c r="C20" s="9"/>
      <c r="D20" s="159"/>
      <c r="E20" s="159"/>
      <c r="F20" s="10"/>
      <c r="G20" s="121"/>
      <c r="H20" s="9"/>
      <c r="I20" s="159"/>
      <c r="J20" s="159"/>
      <c r="K20" s="10"/>
      <c r="L20" s="128"/>
      <c r="M20" s="23"/>
      <c r="N20" s="159"/>
      <c r="O20" s="159"/>
      <c r="P20" s="10"/>
      <c r="Q20" s="121"/>
      <c r="R20" s="9"/>
      <c r="S20" s="159"/>
      <c r="T20" s="159"/>
      <c r="U20" s="10"/>
      <c r="V20" s="128"/>
      <c r="W20" s="259"/>
      <c r="X20" s="4"/>
      <c r="Y20" s="4"/>
      <c r="Z20" s="10"/>
      <c r="AA20" s="125"/>
      <c r="AB20" s="26">
        <f t="shared" si="2"/>
        <v>0</v>
      </c>
      <c r="AC20" s="17">
        <f t="shared" si="0"/>
        <v>0</v>
      </c>
      <c r="AD20" s="17">
        <f t="shared" si="1"/>
        <v>0</v>
      </c>
      <c r="AE20" s="27">
        <f t="shared" si="3"/>
        <v>0</v>
      </c>
      <c r="AF20" s="27">
        <f t="shared" si="4"/>
        <v>0</v>
      </c>
      <c r="AG20" s="19" t="str">
        <f t="shared" si="5"/>
        <v>-</v>
      </c>
    </row>
    <row r="21" spans="2:33" x14ac:dyDescent="0.25">
      <c r="B21" s="236" t="s">
        <v>15</v>
      </c>
      <c r="C21" s="9"/>
      <c r="D21" s="159"/>
      <c r="E21" s="159"/>
      <c r="F21" s="10"/>
      <c r="G21" s="121"/>
      <c r="H21" s="9"/>
      <c r="I21" s="159"/>
      <c r="J21" s="159"/>
      <c r="K21" s="10"/>
      <c r="L21" s="128"/>
      <c r="M21" s="23"/>
      <c r="N21" s="159"/>
      <c r="O21" s="159"/>
      <c r="P21" s="10"/>
      <c r="Q21" s="121"/>
      <c r="R21" s="9" t="s">
        <v>50</v>
      </c>
      <c r="S21" s="159">
        <v>0</v>
      </c>
      <c r="T21" s="159">
        <v>0</v>
      </c>
      <c r="U21" s="10">
        <v>5</v>
      </c>
      <c r="V21" s="128"/>
      <c r="W21" s="259"/>
      <c r="X21" s="4"/>
      <c r="Y21" s="4"/>
      <c r="Z21" s="10"/>
      <c r="AA21" s="125"/>
      <c r="AB21" s="26">
        <f t="shared" si="2"/>
        <v>1</v>
      </c>
      <c r="AC21" s="17">
        <f t="shared" si="0"/>
        <v>0</v>
      </c>
      <c r="AD21" s="17">
        <f t="shared" si="1"/>
        <v>0</v>
      </c>
      <c r="AE21" s="27">
        <f t="shared" si="3"/>
        <v>0</v>
      </c>
      <c r="AF21" s="27">
        <f t="shared" si="4"/>
        <v>0</v>
      </c>
      <c r="AG21" s="19">
        <f t="shared" si="5"/>
        <v>5</v>
      </c>
    </row>
    <row r="22" spans="2:33" x14ac:dyDescent="0.25">
      <c r="B22" s="236" t="s">
        <v>16</v>
      </c>
      <c r="C22" s="9" t="s">
        <v>50</v>
      </c>
      <c r="D22" s="159">
        <v>3</v>
      </c>
      <c r="E22" s="159">
        <v>3</v>
      </c>
      <c r="F22" s="10">
        <v>5.14</v>
      </c>
      <c r="G22" s="121" t="s">
        <v>76</v>
      </c>
      <c r="H22" s="9" t="s">
        <v>50</v>
      </c>
      <c r="I22" s="159">
        <v>2</v>
      </c>
      <c r="J22" s="159">
        <v>0</v>
      </c>
      <c r="K22" s="10">
        <v>5.36</v>
      </c>
      <c r="L22" s="128" t="s">
        <v>76</v>
      </c>
      <c r="M22" s="23" t="s">
        <v>50</v>
      </c>
      <c r="N22" s="159">
        <v>3</v>
      </c>
      <c r="O22" s="159">
        <v>1</v>
      </c>
      <c r="P22" s="10">
        <v>5</v>
      </c>
      <c r="Q22" s="121"/>
      <c r="R22" s="9" t="s">
        <v>50</v>
      </c>
      <c r="S22" s="159">
        <v>2</v>
      </c>
      <c r="T22" s="159">
        <v>1</v>
      </c>
      <c r="U22" s="10">
        <v>5.22</v>
      </c>
      <c r="V22" s="128"/>
      <c r="W22" s="259"/>
      <c r="X22" s="4"/>
      <c r="Y22" s="4"/>
      <c r="Z22" s="10"/>
      <c r="AA22" s="125"/>
      <c r="AB22" s="26">
        <f t="shared" si="2"/>
        <v>4</v>
      </c>
      <c r="AC22" s="17">
        <f t="shared" si="0"/>
        <v>10</v>
      </c>
      <c r="AD22" s="17">
        <f t="shared" si="1"/>
        <v>5</v>
      </c>
      <c r="AE22" s="27">
        <f t="shared" si="3"/>
        <v>15</v>
      </c>
      <c r="AF22" s="27">
        <f t="shared" si="4"/>
        <v>2</v>
      </c>
      <c r="AG22" s="19">
        <f t="shared" si="5"/>
        <v>5.18</v>
      </c>
    </row>
    <row r="23" spans="2:33" x14ac:dyDescent="0.25">
      <c r="B23" s="236" t="s">
        <v>17</v>
      </c>
      <c r="C23" s="9"/>
      <c r="D23" s="159"/>
      <c r="E23" s="159"/>
      <c r="F23" s="10"/>
      <c r="G23" s="121"/>
      <c r="H23" s="9" t="s">
        <v>50</v>
      </c>
      <c r="I23" s="159">
        <v>2</v>
      </c>
      <c r="J23" s="159">
        <v>3</v>
      </c>
      <c r="K23" s="10">
        <v>6.08</v>
      </c>
      <c r="L23" s="128" t="s">
        <v>76</v>
      </c>
      <c r="M23" s="23" t="s">
        <v>50</v>
      </c>
      <c r="N23" s="159">
        <v>2</v>
      </c>
      <c r="O23" s="159">
        <v>1</v>
      </c>
      <c r="P23" s="10">
        <v>5.66</v>
      </c>
      <c r="Q23" s="121"/>
      <c r="R23" s="9" t="s">
        <v>50</v>
      </c>
      <c r="S23" s="159">
        <v>0</v>
      </c>
      <c r="T23" s="159">
        <v>1</v>
      </c>
      <c r="U23" s="10">
        <v>5.16</v>
      </c>
      <c r="V23" s="128"/>
      <c r="W23" s="259"/>
      <c r="X23" s="4"/>
      <c r="Y23" s="4"/>
      <c r="Z23" s="10"/>
      <c r="AA23" s="125"/>
      <c r="AB23" s="26">
        <f t="shared" si="2"/>
        <v>3</v>
      </c>
      <c r="AC23" s="17">
        <f t="shared" si="0"/>
        <v>4</v>
      </c>
      <c r="AD23" s="17">
        <f t="shared" si="1"/>
        <v>5</v>
      </c>
      <c r="AE23" s="27">
        <f t="shared" si="3"/>
        <v>9</v>
      </c>
      <c r="AF23" s="27">
        <f t="shared" si="4"/>
        <v>1</v>
      </c>
      <c r="AG23" s="19">
        <f t="shared" si="5"/>
        <v>5.6333333333333329</v>
      </c>
    </row>
    <row r="24" spans="2:33" x14ac:dyDescent="0.25">
      <c r="B24" s="236" t="s">
        <v>18</v>
      </c>
      <c r="C24" s="9" t="s">
        <v>50</v>
      </c>
      <c r="D24" s="159">
        <v>2</v>
      </c>
      <c r="E24" s="159">
        <v>0</v>
      </c>
      <c r="F24" s="10">
        <v>3.46</v>
      </c>
      <c r="G24" s="121"/>
      <c r="H24" s="9" t="s">
        <v>50</v>
      </c>
      <c r="I24" s="159">
        <v>3</v>
      </c>
      <c r="J24" s="159">
        <v>2</v>
      </c>
      <c r="K24" s="10">
        <v>5.14</v>
      </c>
      <c r="L24" s="128"/>
      <c r="M24" s="23" t="s">
        <v>50</v>
      </c>
      <c r="N24" s="159">
        <v>4</v>
      </c>
      <c r="O24" s="159">
        <v>2</v>
      </c>
      <c r="P24" s="10">
        <v>7.34</v>
      </c>
      <c r="Q24" s="121" t="s">
        <v>76</v>
      </c>
      <c r="R24" s="9" t="s">
        <v>50</v>
      </c>
      <c r="S24" s="159">
        <v>3</v>
      </c>
      <c r="T24" s="159">
        <v>2</v>
      </c>
      <c r="U24" s="10">
        <v>4.84</v>
      </c>
      <c r="V24" s="128"/>
      <c r="W24" s="259"/>
      <c r="X24" s="4"/>
      <c r="Y24" s="4"/>
      <c r="Z24" s="10"/>
      <c r="AA24" s="125"/>
      <c r="AB24" s="26">
        <f t="shared" si="2"/>
        <v>4</v>
      </c>
      <c r="AC24" s="17">
        <f t="shared" si="0"/>
        <v>12</v>
      </c>
      <c r="AD24" s="17">
        <f t="shared" si="1"/>
        <v>6</v>
      </c>
      <c r="AE24" s="27">
        <f t="shared" si="3"/>
        <v>18</v>
      </c>
      <c r="AF24" s="27">
        <f t="shared" si="4"/>
        <v>1</v>
      </c>
      <c r="AG24" s="19">
        <f t="shared" si="5"/>
        <v>5.1950000000000003</v>
      </c>
    </row>
    <row r="25" spans="2:33" x14ac:dyDescent="0.25">
      <c r="B25" s="236" t="s">
        <v>19</v>
      </c>
      <c r="C25" s="9" t="s">
        <v>50</v>
      </c>
      <c r="D25" s="159">
        <v>0</v>
      </c>
      <c r="E25" s="159">
        <v>0</v>
      </c>
      <c r="F25" s="10">
        <v>5.26</v>
      </c>
      <c r="G25" s="121"/>
      <c r="H25" s="9" t="s">
        <v>50</v>
      </c>
      <c r="I25" s="159">
        <v>1</v>
      </c>
      <c r="J25" s="159">
        <v>0</v>
      </c>
      <c r="K25" s="10">
        <v>6.34</v>
      </c>
      <c r="L25" s="128"/>
      <c r="M25" s="23" t="s">
        <v>50</v>
      </c>
      <c r="N25" s="159">
        <v>0</v>
      </c>
      <c r="O25" s="159">
        <v>1</v>
      </c>
      <c r="P25" s="10">
        <v>6.06</v>
      </c>
      <c r="Q25" s="121"/>
      <c r="R25" s="9" t="s">
        <v>50</v>
      </c>
      <c r="S25" s="159">
        <v>0</v>
      </c>
      <c r="T25" s="159">
        <v>0</v>
      </c>
      <c r="U25" s="10">
        <v>5</v>
      </c>
      <c r="V25" s="128" t="s">
        <v>76</v>
      </c>
      <c r="W25" s="259"/>
      <c r="X25" s="4"/>
      <c r="Y25" s="4"/>
      <c r="Z25" s="10"/>
      <c r="AA25" s="125"/>
      <c r="AB25" s="26">
        <f t="shared" si="2"/>
        <v>4</v>
      </c>
      <c r="AC25" s="17">
        <f t="shared" si="0"/>
        <v>1</v>
      </c>
      <c r="AD25" s="17">
        <f t="shared" si="1"/>
        <v>1</v>
      </c>
      <c r="AE25" s="27">
        <f t="shared" si="3"/>
        <v>2</v>
      </c>
      <c r="AF25" s="27">
        <f t="shared" si="4"/>
        <v>1</v>
      </c>
      <c r="AG25" s="19">
        <f t="shared" si="5"/>
        <v>5.665</v>
      </c>
    </row>
    <row r="26" spans="2:33" x14ac:dyDescent="0.25">
      <c r="B26" s="236" t="s">
        <v>79</v>
      </c>
      <c r="C26" s="9"/>
      <c r="D26" s="159"/>
      <c r="E26" s="159"/>
      <c r="F26" s="10"/>
      <c r="G26" s="121"/>
      <c r="H26" s="9"/>
      <c r="I26" s="159"/>
      <c r="J26" s="159"/>
      <c r="K26" s="10"/>
      <c r="L26" s="128"/>
      <c r="M26" s="23"/>
      <c r="N26" s="159"/>
      <c r="O26" s="159"/>
      <c r="P26" s="10"/>
      <c r="Q26" s="121"/>
      <c r="R26" s="9"/>
      <c r="S26" s="159"/>
      <c r="T26" s="159"/>
      <c r="U26" s="10"/>
      <c r="V26" s="128"/>
      <c r="W26" s="259"/>
      <c r="X26" s="4"/>
      <c r="Y26" s="4"/>
      <c r="Z26" s="10"/>
      <c r="AA26" s="125"/>
      <c r="AB26" s="26">
        <f t="shared" si="2"/>
        <v>0</v>
      </c>
      <c r="AC26" s="17">
        <f t="shared" si="0"/>
        <v>0</v>
      </c>
      <c r="AD26" s="17">
        <f t="shared" si="1"/>
        <v>0</v>
      </c>
      <c r="AE26" s="27">
        <f t="shared" si="3"/>
        <v>0</v>
      </c>
      <c r="AF26" s="27">
        <f t="shared" si="4"/>
        <v>0</v>
      </c>
      <c r="AG26" s="19" t="str">
        <f t="shared" si="5"/>
        <v>-</v>
      </c>
    </row>
    <row r="27" spans="2:33" x14ac:dyDescent="0.25">
      <c r="B27" s="236" t="s">
        <v>20</v>
      </c>
      <c r="C27" s="9" t="s">
        <v>50</v>
      </c>
      <c r="D27" s="159">
        <v>0</v>
      </c>
      <c r="E27" s="159">
        <v>1</v>
      </c>
      <c r="F27" s="10">
        <v>5.4</v>
      </c>
      <c r="G27" s="121"/>
      <c r="H27" s="9" t="s">
        <v>50</v>
      </c>
      <c r="I27" s="159">
        <v>1</v>
      </c>
      <c r="J27" s="159">
        <v>1</v>
      </c>
      <c r="K27" s="10">
        <v>4.8</v>
      </c>
      <c r="L27" s="128"/>
      <c r="M27" s="23"/>
      <c r="N27" s="159"/>
      <c r="O27" s="159"/>
      <c r="P27" s="10"/>
      <c r="Q27" s="121"/>
      <c r="R27" s="9"/>
      <c r="S27" s="159"/>
      <c r="T27" s="159"/>
      <c r="U27" s="10"/>
      <c r="V27" s="128"/>
      <c r="W27" s="259"/>
      <c r="X27" s="4"/>
      <c r="Y27" s="4"/>
      <c r="Z27" s="10"/>
      <c r="AA27" s="125"/>
      <c r="AB27" s="26">
        <f t="shared" si="2"/>
        <v>2</v>
      </c>
      <c r="AC27" s="17">
        <f t="shared" si="0"/>
        <v>1</v>
      </c>
      <c r="AD27" s="17">
        <f t="shared" si="1"/>
        <v>2</v>
      </c>
      <c r="AE27" s="27">
        <f t="shared" si="3"/>
        <v>3</v>
      </c>
      <c r="AF27" s="27">
        <f t="shared" si="4"/>
        <v>0</v>
      </c>
      <c r="AG27" s="19">
        <f t="shared" si="5"/>
        <v>5.0999999999999996</v>
      </c>
    </row>
    <row r="28" spans="2:33" x14ac:dyDescent="0.25">
      <c r="B28" s="237" t="s">
        <v>82</v>
      </c>
      <c r="C28" s="9"/>
      <c r="D28" s="159"/>
      <c r="E28" s="159"/>
      <c r="F28" s="10"/>
      <c r="G28" s="121"/>
      <c r="H28" s="9"/>
      <c r="I28" s="159"/>
      <c r="J28" s="159"/>
      <c r="K28" s="10"/>
      <c r="L28" s="128"/>
      <c r="M28" s="23"/>
      <c r="N28" s="159"/>
      <c r="O28" s="159"/>
      <c r="P28" s="10"/>
      <c r="Q28" s="121"/>
      <c r="R28" s="9"/>
      <c r="S28" s="159"/>
      <c r="T28" s="159"/>
      <c r="U28" s="10"/>
      <c r="V28" s="128"/>
      <c r="W28" s="259"/>
      <c r="X28" s="4"/>
      <c r="Y28" s="4"/>
      <c r="Z28" s="10"/>
      <c r="AA28" s="125"/>
      <c r="AB28" s="26">
        <f t="shared" si="2"/>
        <v>0</v>
      </c>
      <c r="AC28" s="17">
        <f t="shared" si="0"/>
        <v>0</v>
      </c>
      <c r="AD28" s="17">
        <f t="shared" si="1"/>
        <v>0</v>
      </c>
      <c r="AE28" s="27">
        <f t="shared" si="3"/>
        <v>0</v>
      </c>
      <c r="AF28" s="27">
        <f t="shared" si="4"/>
        <v>0</v>
      </c>
      <c r="AG28" s="19" t="str">
        <f t="shared" si="5"/>
        <v>-</v>
      </c>
    </row>
    <row r="29" spans="2:33" x14ac:dyDescent="0.25">
      <c r="B29" s="236" t="s">
        <v>21</v>
      </c>
      <c r="C29" s="9"/>
      <c r="D29" s="159"/>
      <c r="E29" s="159"/>
      <c r="F29" s="10"/>
      <c r="G29" s="121"/>
      <c r="H29" s="9"/>
      <c r="I29" s="159"/>
      <c r="J29" s="159"/>
      <c r="K29" s="10"/>
      <c r="L29" s="128"/>
      <c r="M29" s="23"/>
      <c r="N29" s="159"/>
      <c r="O29" s="159"/>
      <c r="P29" s="10"/>
      <c r="Q29" s="121"/>
      <c r="R29" s="9"/>
      <c r="S29" s="159"/>
      <c r="T29" s="159"/>
      <c r="U29" s="10"/>
      <c r="V29" s="128"/>
      <c r="W29" s="259"/>
      <c r="X29" s="4"/>
      <c r="Y29" s="4"/>
      <c r="Z29" s="10"/>
      <c r="AA29" s="125"/>
      <c r="AB29" s="26">
        <f t="shared" si="2"/>
        <v>0</v>
      </c>
      <c r="AC29" s="17">
        <f t="shared" si="0"/>
        <v>0</v>
      </c>
      <c r="AD29" s="17">
        <f t="shared" si="1"/>
        <v>0</v>
      </c>
      <c r="AE29" s="27">
        <f t="shared" si="3"/>
        <v>0</v>
      </c>
      <c r="AF29" s="27">
        <f t="shared" si="4"/>
        <v>0</v>
      </c>
      <c r="AG29" s="19" t="str">
        <f t="shared" si="5"/>
        <v>-</v>
      </c>
    </row>
    <row r="30" spans="2:33" x14ac:dyDescent="0.25">
      <c r="B30" s="236" t="s">
        <v>22</v>
      </c>
      <c r="C30" s="9"/>
      <c r="D30" s="159"/>
      <c r="E30" s="159"/>
      <c r="F30" s="10"/>
      <c r="G30" s="121"/>
      <c r="H30" s="9"/>
      <c r="I30" s="159"/>
      <c r="J30" s="159"/>
      <c r="K30" s="10"/>
      <c r="L30" s="128"/>
      <c r="M30" s="23"/>
      <c r="N30" s="159"/>
      <c r="O30" s="159"/>
      <c r="P30" s="10"/>
      <c r="Q30" s="121"/>
      <c r="R30" s="9"/>
      <c r="S30" s="159"/>
      <c r="T30" s="159"/>
      <c r="U30" s="10"/>
      <c r="V30" s="128"/>
      <c r="W30" s="259"/>
      <c r="X30" s="4"/>
      <c r="Y30" s="4"/>
      <c r="Z30" s="10"/>
      <c r="AA30" s="125"/>
      <c r="AB30" s="26">
        <f t="shared" si="2"/>
        <v>0</v>
      </c>
      <c r="AC30" s="17">
        <f t="shared" si="0"/>
        <v>0</v>
      </c>
      <c r="AD30" s="17">
        <f t="shared" si="1"/>
        <v>0</v>
      </c>
      <c r="AE30" s="27">
        <f t="shared" si="3"/>
        <v>0</v>
      </c>
      <c r="AF30" s="27">
        <f t="shared" si="4"/>
        <v>0</v>
      </c>
      <c r="AG30" s="19" t="str">
        <f t="shared" si="5"/>
        <v>-</v>
      </c>
    </row>
    <row r="31" spans="2:33" x14ac:dyDescent="0.25">
      <c r="B31" s="236" t="s">
        <v>23</v>
      </c>
      <c r="C31" s="9" t="s">
        <v>50</v>
      </c>
      <c r="D31" s="159">
        <v>0</v>
      </c>
      <c r="E31" s="159">
        <v>2</v>
      </c>
      <c r="F31" s="10">
        <v>5.46</v>
      </c>
      <c r="G31" s="121" t="s">
        <v>76</v>
      </c>
      <c r="H31" s="9" t="s">
        <v>50</v>
      </c>
      <c r="I31" s="159">
        <v>1</v>
      </c>
      <c r="J31" s="159">
        <v>1</v>
      </c>
      <c r="K31" s="10">
        <v>5.64</v>
      </c>
      <c r="L31" s="128"/>
      <c r="M31" s="23" t="s">
        <v>50</v>
      </c>
      <c r="N31" s="159">
        <v>2</v>
      </c>
      <c r="O31" s="159">
        <v>1</v>
      </c>
      <c r="P31" s="10">
        <v>7.34</v>
      </c>
      <c r="Q31" s="121" t="s">
        <v>76</v>
      </c>
      <c r="R31" s="9" t="s">
        <v>50</v>
      </c>
      <c r="S31" s="159">
        <v>2</v>
      </c>
      <c r="T31" s="159">
        <v>1</v>
      </c>
      <c r="U31" s="10">
        <v>6.12</v>
      </c>
      <c r="V31" s="128"/>
      <c r="W31" s="259"/>
      <c r="X31" s="4"/>
      <c r="Y31" s="4"/>
      <c r="Z31" s="10"/>
      <c r="AA31" s="125"/>
      <c r="AB31" s="26">
        <f t="shared" si="2"/>
        <v>4</v>
      </c>
      <c r="AC31" s="17">
        <f t="shared" si="0"/>
        <v>5</v>
      </c>
      <c r="AD31" s="17">
        <f t="shared" si="1"/>
        <v>5</v>
      </c>
      <c r="AE31" s="27">
        <f t="shared" si="3"/>
        <v>10</v>
      </c>
      <c r="AF31" s="27">
        <f t="shared" si="4"/>
        <v>2</v>
      </c>
      <c r="AG31" s="19">
        <f t="shared" si="5"/>
        <v>6.14</v>
      </c>
    </row>
    <row r="32" spans="2:33" x14ac:dyDescent="0.25">
      <c r="B32" s="237" t="s">
        <v>84</v>
      </c>
      <c r="C32" s="9"/>
      <c r="D32" s="159"/>
      <c r="E32" s="159"/>
      <c r="F32" s="10"/>
      <c r="G32" s="121"/>
      <c r="H32" s="9"/>
      <c r="I32" s="159"/>
      <c r="J32" s="159"/>
      <c r="K32" s="10"/>
      <c r="L32" s="128"/>
      <c r="M32" s="23"/>
      <c r="N32" s="159"/>
      <c r="O32" s="159"/>
      <c r="P32" s="10"/>
      <c r="Q32" s="121"/>
      <c r="R32" s="9"/>
      <c r="S32" s="159"/>
      <c r="T32" s="159"/>
      <c r="U32" s="10"/>
      <c r="V32" s="128"/>
      <c r="W32" s="259"/>
      <c r="X32" s="4"/>
      <c r="Y32" s="4"/>
      <c r="Z32" s="10"/>
      <c r="AA32" s="125"/>
      <c r="AB32" s="26">
        <f t="shared" si="2"/>
        <v>0</v>
      </c>
      <c r="AC32" s="17">
        <f t="shared" si="0"/>
        <v>0</v>
      </c>
      <c r="AD32" s="17">
        <f t="shared" si="1"/>
        <v>0</v>
      </c>
      <c r="AE32" s="27">
        <f t="shared" si="3"/>
        <v>0</v>
      </c>
      <c r="AF32" s="27">
        <f t="shared" si="4"/>
        <v>0</v>
      </c>
      <c r="AG32" s="19" t="str">
        <f t="shared" si="5"/>
        <v>-</v>
      </c>
    </row>
    <row r="33" spans="2:33" x14ac:dyDescent="0.25">
      <c r="B33" s="236" t="s">
        <v>24</v>
      </c>
      <c r="C33" s="9"/>
      <c r="D33" s="159"/>
      <c r="E33" s="159"/>
      <c r="F33" s="10"/>
      <c r="G33" s="121"/>
      <c r="H33" s="9"/>
      <c r="I33" s="159"/>
      <c r="J33" s="159"/>
      <c r="K33" s="10"/>
      <c r="L33" s="128"/>
      <c r="M33" s="23"/>
      <c r="N33" s="159"/>
      <c r="O33" s="159"/>
      <c r="P33" s="10"/>
      <c r="Q33" s="121"/>
      <c r="R33" s="9" t="s">
        <v>50</v>
      </c>
      <c r="S33" s="159">
        <v>1</v>
      </c>
      <c r="T33" s="159">
        <v>0</v>
      </c>
      <c r="U33" s="10">
        <v>5.94</v>
      </c>
      <c r="V33" s="128"/>
      <c r="W33" s="259"/>
      <c r="X33" s="4"/>
      <c r="Y33" s="4"/>
      <c r="Z33" s="10"/>
      <c r="AA33" s="125"/>
      <c r="AB33" s="26">
        <f t="shared" si="2"/>
        <v>1</v>
      </c>
      <c r="AC33" s="17">
        <f t="shared" si="0"/>
        <v>1</v>
      </c>
      <c r="AD33" s="17">
        <f t="shared" si="1"/>
        <v>0</v>
      </c>
      <c r="AE33" s="27">
        <f t="shared" si="3"/>
        <v>1</v>
      </c>
      <c r="AF33" s="27">
        <f t="shared" si="4"/>
        <v>0</v>
      </c>
      <c r="AG33" s="19">
        <f t="shared" si="5"/>
        <v>5.94</v>
      </c>
    </row>
    <row r="34" spans="2:33" x14ac:dyDescent="0.25">
      <c r="B34" s="236" t="s">
        <v>25</v>
      </c>
      <c r="C34" s="9"/>
      <c r="D34" s="159"/>
      <c r="E34" s="159"/>
      <c r="F34" s="10"/>
      <c r="G34" s="121"/>
      <c r="H34" s="9"/>
      <c r="I34" s="159"/>
      <c r="J34" s="159"/>
      <c r="K34" s="10"/>
      <c r="L34" s="128"/>
      <c r="M34" s="23"/>
      <c r="N34" s="159"/>
      <c r="O34" s="159"/>
      <c r="P34" s="10"/>
      <c r="Q34" s="121"/>
      <c r="R34" s="9"/>
      <c r="S34" s="159"/>
      <c r="T34" s="159"/>
      <c r="U34" s="10"/>
      <c r="V34" s="128"/>
      <c r="W34" s="259"/>
      <c r="X34" s="4"/>
      <c r="Y34" s="4"/>
      <c r="Z34" s="10"/>
      <c r="AA34" s="125"/>
      <c r="AB34" s="26">
        <f t="shared" si="2"/>
        <v>0</v>
      </c>
      <c r="AC34" s="17">
        <f t="shared" si="0"/>
        <v>0</v>
      </c>
      <c r="AD34" s="17">
        <f t="shared" si="1"/>
        <v>0</v>
      </c>
      <c r="AE34" s="27">
        <f t="shared" si="3"/>
        <v>0</v>
      </c>
      <c r="AF34" s="27">
        <f t="shared" si="4"/>
        <v>0</v>
      </c>
      <c r="AG34" s="19" t="str">
        <f t="shared" si="5"/>
        <v>-</v>
      </c>
    </row>
    <row r="35" spans="2:33" x14ac:dyDescent="0.25">
      <c r="B35" s="236" t="s">
        <v>26</v>
      </c>
      <c r="C35" s="9"/>
      <c r="D35" s="159"/>
      <c r="E35" s="159"/>
      <c r="F35" s="10"/>
      <c r="G35" s="121"/>
      <c r="H35" s="9" t="s">
        <v>50</v>
      </c>
      <c r="I35" s="159">
        <v>1</v>
      </c>
      <c r="J35" s="159">
        <v>1</v>
      </c>
      <c r="K35" s="10">
        <v>3.92</v>
      </c>
      <c r="L35" s="128"/>
      <c r="M35" s="23" t="s">
        <v>50</v>
      </c>
      <c r="N35" s="159">
        <v>2</v>
      </c>
      <c r="O35" s="159">
        <v>1</v>
      </c>
      <c r="P35" s="10">
        <v>4.26</v>
      </c>
      <c r="Q35" s="121"/>
      <c r="R35" s="9" t="s">
        <v>50</v>
      </c>
      <c r="S35" s="159">
        <v>4</v>
      </c>
      <c r="T35" s="159">
        <v>1</v>
      </c>
      <c r="U35" s="10">
        <v>5.88</v>
      </c>
      <c r="V35" s="128" t="s">
        <v>76</v>
      </c>
      <c r="W35" s="259"/>
      <c r="X35" s="4"/>
      <c r="Y35" s="4"/>
      <c r="Z35" s="10"/>
      <c r="AA35" s="125"/>
      <c r="AB35" s="26">
        <f t="shared" si="2"/>
        <v>3</v>
      </c>
      <c r="AC35" s="17">
        <f t="shared" si="0"/>
        <v>7</v>
      </c>
      <c r="AD35" s="17">
        <f t="shared" si="1"/>
        <v>3</v>
      </c>
      <c r="AE35" s="27">
        <f t="shared" si="3"/>
        <v>10</v>
      </c>
      <c r="AF35" s="27">
        <f t="shared" si="4"/>
        <v>1</v>
      </c>
      <c r="AG35" s="19">
        <f t="shared" si="5"/>
        <v>4.6866666666666665</v>
      </c>
    </row>
    <row r="36" spans="2:33" x14ac:dyDescent="0.25">
      <c r="B36" s="236" t="s">
        <v>27</v>
      </c>
      <c r="C36" s="9" t="s">
        <v>50</v>
      </c>
      <c r="D36" s="159">
        <v>1</v>
      </c>
      <c r="E36" s="159">
        <v>2</v>
      </c>
      <c r="F36" s="10">
        <v>4.68</v>
      </c>
      <c r="G36" s="121"/>
      <c r="H36" s="9" t="s">
        <v>50</v>
      </c>
      <c r="I36" s="159">
        <v>2</v>
      </c>
      <c r="J36" s="159">
        <v>3</v>
      </c>
      <c r="K36" s="10">
        <v>6.14</v>
      </c>
      <c r="L36" s="128" t="s">
        <v>76</v>
      </c>
      <c r="M36" s="23" t="s">
        <v>50</v>
      </c>
      <c r="N36" s="159">
        <v>1</v>
      </c>
      <c r="O36" s="159">
        <v>1</v>
      </c>
      <c r="P36" s="10">
        <v>5.32</v>
      </c>
      <c r="Q36" s="121"/>
      <c r="R36" s="9" t="s">
        <v>50</v>
      </c>
      <c r="S36" s="159">
        <v>0</v>
      </c>
      <c r="T36" s="159">
        <v>2</v>
      </c>
      <c r="U36" s="10">
        <v>4.34</v>
      </c>
      <c r="V36" s="128"/>
      <c r="W36" s="259"/>
      <c r="X36" s="4"/>
      <c r="Y36" s="4"/>
      <c r="Z36" s="10"/>
      <c r="AA36" s="125"/>
      <c r="AB36" s="26">
        <f t="shared" si="2"/>
        <v>4</v>
      </c>
      <c r="AC36" s="17">
        <f t="shared" si="0"/>
        <v>4</v>
      </c>
      <c r="AD36" s="17">
        <f t="shared" si="1"/>
        <v>8</v>
      </c>
      <c r="AE36" s="27">
        <f t="shared" si="3"/>
        <v>12</v>
      </c>
      <c r="AF36" s="27">
        <f t="shared" si="4"/>
        <v>1</v>
      </c>
      <c r="AG36" s="19">
        <f t="shared" si="5"/>
        <v>5.12</v>
      </c>
    </row>
    <row r="37" spans="2:33" x14ac:dyDescent="0.25">
      <c r="B37" s="236" t="s">
        <v>28</v>
      </c>
      <c r="C37" s="9"/>
      <c r="D37" s="159"/>
      <c r="E37" s="159"/>
      <c r="F37" s="10"/>
      <c r="G37" s="121"/>
      <c r="H37" s="9"/>
      <c r="I37" s="159"/>
      <c r="J37" s="159"/>
      <c r="K37" s="10"/>
      <c r="L37" s="128"/>
      <c r="M37" s="23"/>
      <c r="N37" s="159"/>
      <c r="O37" s="159"/>
      <c r="P37" s="10"/>
      <c r="Q37" s="121"/>
      <c r="R37" s="9"/>
      <c r="S37" s="159"/>
      <c r="T37" s="159"/>
      <c r="U37" s="10"/>
      <c r="V37" s="128"/>
      <c r="W37" s="259"/>
      <c r="X37" s="4"/>
      <c r="Y37" s="4"/>
      <c r="Z37" s="10"/>
      <c r="AA37" s="125"/>
      <c r="AB37" s="26">
        <f t="shared" si="2"/>
        <v>0</v>
      </c>
      <c r="AC37" s="17">
        <f t="shared" si="0"/>
        <v>0</v>
      </c>
      <c r="AD37" s="17">
        <f t="shared" si="1"/>
        <v>0</v>
      </c>
      <c r="AE37" s="27">
        <f t="shared" si="3"/>
        <v>0</v>
      </c>
      <c r="AF37" s="27">
        <f t="shared" si="4"/>
        <v>0</v>
      </c>
      <c r="AG37" s="19" t="str">
        <f t="shared" si="5"/>
        <v>-</v>
      </c>
    </row>
    <row r="38" spans="2:33" x14ac:dyDescent="0.25">
      <c r="B38" s="236" t="s">
        <v>77</v>
      </c>
      <c r="C38" s="9"/>
      <c r="D38" s="159"/>
      <c r="E38" s="159"/>
      <c r="F38" s="10"/>
      <c r="G38" s="121"/>
      <c r="H38" s="9"/>
      <c r="I38" s="159"/>
      <c r="J38" s="159"/>
      <c r="K38" s="10"/>
      <c r="L38" s="128"/>
      <c r="M38" s="23"/>
      <c r="N38" s="159"/>
      <c r="O38" s="159"/>
      <c r="P38" s="10"/>
      <c r="Q38" s="121"/>
      <c r="R38" s="9"/>
      <c r="S38" s="159"/>
      <c r="T38" s="159"/>
      <c r="U38" s="10"/>
      <c r="V38" s="128"/>
      <c r="W38" s="259"/>
      <c r="X38" s="4"/>
      <c r="Y38" s="4"/>
      <c r="Z38" s="10"/>
      <c r="AA38" s="125"/>
      <c r="AB38" s="26">
        <f t="shared" si="2"/>
        <v>0</v>
      </c>
      <c r="AC38" s="17">
        <f t="shared" si="0"/>
        <v>0</v>
      </c>
      <c r="AD38" s="17">
        <f t="shared" si="1"/>
        <v>0</v>
      </c>
      <c r="AE38" s="27">
        <f t="shared" si="3"/>
        <v>0</v>
      </c>
      <c r="AF38" s="27">
        <f t="shared" si="4"/>
        <v>0</v>
      </c>
      <c r="AG38" s="19" t="str">
        <f t="shared" si="5"/>
        <v>-</v>
      </c>
    </row>
    <row r="39" spans="2:33" x14ac:dyDescent="0.25">
      <c r="B39" s="236" t="s">
        <v>29</v>
      </c>
      <c r="C39" s="9" t="s">
        <v>50</v>
      </c>
      <c r="D39" s="159">
        <v>0</v>
      </c>
      <c r="E39" s="159">
        <v>0</v>
      </c>
      <c r="F39" s="10">
        <v>4.8600000000000003</v>
      </c>
      <c r="G39" s="121"/>
      <c r="H39" s="9"/>
      <c r="I39" s="159"/>
      <c r="J39" s="159"/>
      <c r="K39" s="10"/>
      <c r="L39" s="128"/>
      <c r="M39" s="23"/>
      <c r="N39" s="159"/>
      <c r="O39" s="159"/>
      <c r="P39" s="10"/>
      <c r="Q39" s="121"/>
      <c r="R39" s="9"/>
      <c r="S39" s="159"/>
      <c r="T39" s="159"/>
      <c r="U39" s="10"/>
      <c r="V39" s="128"/>
      <c r="W39" s="259"/>
      <c r="X39" s="4"/>
      <c r="Y39" s="4"/>
      <c r="Z39" s="10"/>
      <c r="AA39" s="125"/>
      <c r="AB39" s="26">
        <f t="shared" si="2"/>
        <v>1</v>
      </c>
      <c r="AC39" s="17">
        <f t="shared" si="0"/>
        <v>0</v>
      </c>
      <c r="AD39" s="17">
        <f t="shared" si="1"/>
        <v>0</v>
      </c>
      <c r="AE39" s="27">
        <f t="shared" si="3"/>
        <v>0</v>
      </c>
      <c r="AF39" s="27">
        <f t="shared" si="4"/>
        <v>0</v>
      </c>
      <c r="AG39" s="19">
        <f t="shared" si="5"/>
        <v>4.8600000000000003</v>
      </c>
    </row>
    <row r="40" spans="2:33" x14ac:dyDescent="0.25">
      <c r="B40" s="236" t="s">
        <v>30</v>
      </c>
      <c r="C40" s="9" t="s">
        <v>50</v>
      </c>
      <c r="D40" s="159">
        <v>1</v>
      </c>
      <c r="E40" s="159">
        <v>4</v>
      </c>
      <c r="F40" s="10">
        <v>7.66</v>
      </c>
      <c r="G40" s="121" t="s">
        <v>76</v>
      </c>
      <c r="H40" s="9" t="s">
        <v>50</v>
      </c>
      <c r="I40" s="159">
        <v>1</v>
      </c>
      <c r="J40" s="159">
        <v>5</v>
      </c>
      <c r="K40" s="10">
        <v>7.58</v>
      </c>
      <c r="L40" s="128" t="s">
        <v>76</v>
      </c>
      <c r="M40" s="23" t="s">
        <v>50</v>
      </c>
      <c r="N40" s="159">
        <v>3</v>
      </c>
      <c r="O40" s="159">
        <v>5</v>
      </c>
      <c r="P40" s="10">
        <v>7.86</v>
      </c>
      <c r="Q40" s="121" t="s">
        <v>76</v>
      </c>
      <c r="R40" s="9" t="s">
        <v>50</v>
      </c>
      <c r="S40" s="159">
        <v>1</v>
      </c>
      <c r="T40" s="159">
        <v>1</v>
      </c>
      <c r="U40" s="10">
        <v>7.22</v>
      </c>
      <c r="V40" s="128" t="s">
        <v>76</v>
      </c>
      <c r="W40" s="259"/>
      <c r="X40" s="4"/>
      <c r="Y40" s="4"/>
      <c r="Z40" s="10"/>
      <c r="AA40" s="125"/>
      <c r="AB40" s="26">
        <f t="shared" si="2"/>
        <v>4</v>
      </c>
      <c r="AC40" s="17">
        <f t="shared" si="0"/>
        <v>6</v>
      </c>
      <c r="AD40" s="17">
        <f t="shared" si="1"/>
        <v>15</v>
      </c>
      <c r="AE40" s="27">
        <f t="shared" si="3"/>
        <v>21</v>
      </c>
      <c r="AF40" s="27">
        <f t="shared" si="4"/>
        <v>4</v>
      </c>
      <c r="AG40" s="19">
        <f t="shared" si="5"/>
        <v>7.58</v>
      </c>
    </row>
    <row r="41" spans="2:33" x14ac:dyDescent="0.25">
      <c r="B41" s="236" t="s">
        <v>31</v>
      </c>
      <c r="C41" s="9" t="s">
        <v>50</v>
      </c>
      <c r="D41" s="159">
        <v>0</v>
      </c>
      <c r="E41" s="159">
        <v>0</v>
      </c>
      <c r="F41" s="10">
        <v>3.6</v>
      </c>
      <c r="G41" s="121"/>
      <c r="H41" s="9" t="s">
        <v>50</v>
      </c>
      <c r="I41" s="159">
        <v>2</v>
      </c>
      <c r="J41" s="159">
        <v>0</v>
      </c>
      <c r="K41" s="10">
        <v>7.28</v>
      </c>
      <c r="L41" s="128" t="s">
        <v>76</v>
      </c>
      <c r="M41" s="23" t="s">
        <v>50</v>
      </c>
      <c r="N41" s="159">
        <v>1</v>
      </c>
      <c r="O41" s="159">
        <v>1</v>
      </c>
      <c r="P41" s="10">
        <v>8.4600000000000009</v>
      </c>
      <c r="Q41" s="121" t="s">
        <v>76</v>
      </c>
      <c r="R41" s="9" t="s">
        <v>50</v>
      </c>
      <c r="S41" s="159">
        <v>0</v>
      </c>
      <c r="T41" s="159">
        <v>0</v>
      </c>
      <c r="U41" s="10">
        <v>6.78</v>
      </c>
      <c r="V41" s="128"/>
      <c r="W41" s="259"/>
      <c r="X41" s="4"/>
      <c r="Y41" s="4"/>
      <c r="Z41" s="10"/>
      <c r="AA41" s="125"/>
      <c r="AB41" s="26">
        <f t="shared" si="2"/>
        <v>4</v>
      </c>
      <c r="AC41" s="17">
        <f t="shared" si="0"/>
        <v>3</v>
      </c>
      <c r="AD41" s="17">
        <f t="shared" si="1"/>
        <v>1</v>
      </c>
      <c r="AE41" s="27">
        <f t="shared" si="3"/>
        <v>4</v>
      </c>
      <c r="AF41" s="27">
        <f t="shared" si="4"/>
        <v>2</v>
      </c>
      <c r="AG41" s="19">
        <f t="shared" si="5"/>
        <v>6.5300000000000011</v>
      </c>
    </row>
    <row r="42" spans="2:33" x14ac:dyDescent="0.25">
      <c r="B42" s="236" t="s">
        <v>32</v>
      </c>
      <c r="C42" s="9" t="s">
        <v>50</v>
      </c>
      <c r="D42" s="159">
        <v>1</v>
      </c>
      <c r="E42" s="159">
        <v>2</v>
      </c>
      <c r="F42" s="10">
        <v>4.74</v>
      </c>
      <c r="G42" s="121"/>
      <c r="H42" s="9"/>
      <c r="I42" s="159"/>
      <c r="J42" s="159"/>
      <c r="K42" s="10"/>
      <c r="L42" s="128"/>
      <c r="M42" s="23"/>
      <c r="N42" s="159"/>
      <c r="O42" s="159"/>
      <c r="P42" s="10"/>
      <c r="Q42" s="121"/>
      <c r="R42" s="9"/>
      <c r="S42" s="159"/>
      <c r="T42" s="159"/>
      <c r="U42" s="10"/>
      <c r="V42" s="128"/>
      <c r="W42" s="259"/>
      <c r="X42" s="4"/>
      <c r="Y42" s="4"/>
      <c r="Z42" s="10"/>
      <c r="AA42" s="125"/>
      <c r="AB42" s="26">
        <f t="shared" si="2"/>
        <v>1</v>
      </c>
      <c r="AC42" s="17">
        <f t="shared" si="0"/>
        <v>1</v>
      </c>
      <c r="AD42" s="17">
        <f t="shared" si="1"/>
        <v>2</v>
      </c>
      <c r="AE42" s="27">
        <f t="shared" si="3"/>
        <v>3</v>
      </c>
      <c r="AF42" s="27">
        <f t="shared" si="4"/>
        <v>0</v>
      </c>
      <c r="AG42" s="19">
        <f t="shared" si="5"/>
        <v>4.74</v>
      </c>
    </row>
    <row r="43" spans="2:33" x14ac:dyDescent="0.25">
      <c r="B43" s="236" t="s">
        <v>33</v>
      </c>
      <c r="C43" s="9"/>
      <c r="D43" s="159"/>
      <c r="E43" s="159"/>
      <c r="F43" s="10"/>
      <c r="G43" s="121"/>
      <c r="H43" s="9"/>
      <c r="I43" s="159"/>
      <c r="J43" s="159"/>
      <c r="K43" s="10"/>
      <c r="L43" s="128"/>
      <c r="M43" s="23" t="s">
        <v>50</v>
      </c>
      <c r="N43" s="159">
        <v>0</v>
      </c>
      <c r="O43" s="159">
        <v>1</v>
      </c>
      <c r="P43" s="10">
        <v>5.74</v>
      </c>
      <c r="Q43" s="121"/>
      <c r="R43" s="9"/>
      <c r="S43" s="159"/>
      <c r="T43" s="159"/>
      <c r="U43" s="10">
        <v>5.56</v>
      </c>
      <c r="V43" s="128"/>
      <c r="W43" s="259"/>
      <c r="X43" s="4"/>
      <c r="Y43" s="4"/>
      <c r="Z43" s="10"/>
      <c r="AA43" s="125"/>
      <c r="AB43" s="26">
        <f t="shared" si="2"/>
        <v>1</v>
      </c>
      <c r="AC43" s="17">
        <f t="shared" si="0"/>
        <v>0</v>
      </c>
      <c r="AD43" s="17">
        <f t="shared" si="1"/>
        <v>1</v>
      </c>
      <c r="AE43" s="27">
        <f t="shared" si="3"/>
        <v>1</v>
      </c>
      <c r="AF43" s="27">
        <f t="shared" si="4"/>
        <v>0</v>
      </c>
      <c r="AG43" s="19">
        <f t="shared" si="5"/>
        <v>5.65</v>
      </c>
    </row>
    <row r="44" spans="2:33" x14ac:dyDescent="0.25">
      <c r="B44" s="236" t="s">
        <v>34</v>
      </c>
      <c r="C44" s="9" t="s">
        <v>50</v>
      </c>
      <c r="D44" s="159">
        <v>0</v>
      </c>
      <c r="E44" s="159">
        <v>0</v>
      </c>
      <c r="F44" s="10">
        <v>4</v>
      </c>
      <c r="G44" s="121"/>
      <c r="H44" s="9"/>
      <c r="I44" s="159"/>
      <c r="J44" s="159"/>
      <c r="K44" s="10"/>
      <c r="L44" s="128"/>
      <c r="M44" s="23"/>
      <c r="N44" s="159"/>
      <c r="O44" s="159"/>
      <c r="P44" s="10"/>
      <c r="Q44" s="121"/>
      <c r="R44" s="9"/>
      <c r="S44" s="159"/>
      <c r="T44" s="159"/>
      <c r="U44" s="10"/>
      <c r="V44" s="128"/>
      <c r="W44" s="259"/>
      <c r="X44" s="4"/>
      <c r="Y44" s="4"/>
      <c r="Z44" s="10"/>
      <c r="AA44" s="125"/>
      <c r="AB44" s="26">
        <f t="shared" si="2"/>
        <v>1</v>
      </c>
      <c r="AC44" s="17">
        <f t="shared" si="0"/>
        <v>0</v>
      </c>
      <c r="AD44" s="17">
        <f t="shared" si="1"/>
        <v>0</v>
      </c>
      <c r="AE44" s="27">
        <f t="shared" si="3"/>
        <v>0</v>
      </c>
      <c r="AF44" s="27">
        <f t="shared" si="4"/>
        <v>0</v>
      </c>
      <c r="AG44" s="19">
        <f t="shared" si="5"/>
        <v>4</v>
      </c>
    </row>
    <row r="45" spans="2:33" x14ac:dyDescent="0.25">
      <c r="B45" s="236" t="s">
        <v>35</v>
      </c>
      <c r="C45" s="9" t="s">
        <v>50</v>
      </c>
      <c r="D45" s="159">
        <v>1</v>
      </c>
      <c r="E45" s="159">
        <v>0</v>
      </c>
      <c r="F45" s="10">
        <v>6.26</v>
      </c>
      <c r="G45" s="121" t="s">
        <v>76</v>
      </c>
      <c r="H45" s="9" t="s">
        <v>50</v>
      </c>
      <c r="I45" s="159">
        <v>0</v>
      </c>
      <c r="J45" s="159">
        <v>0</v>
      </c>
      <c r="K45" s="10">
        <v>4.1399999999999997</v>
      </c>
      <c r="L45" s="128"/>
      <c r="M45" s="23" t="s">
        <v>50</v>
      </c>
      <c r="N45" s="159">
        <v>0</v>
      </c>
      <c r="O45" s="159">
        <v>2</v>
      </c>
      <c r="P45" s="10">
        <v>5.26</v>
      </c>
      <c r="Q45" s="121"/>
      <c r="R45" s="9" t="s">
        <v>50</v>
      </c>
      <c r="S45" s="159">
        <v>1</v>
      </c>
      <c r="T45" s="159">
        <v>2</v>
      </c>
      <c r="U45" s="10">
        <v>6.28</v>
      </c>
      <c r="V45" s="128" t="s">
        <v>76</v>
      </c>
      <c r="W45" s="259"/>
      <c r="X45" s="4"/>
      <c r="Y45" s="4"/>
      <c r="Z45" s="10"/>
      <c r="AA45" s="125"/>
      <c r="AB45" s="26">
        <f t="shared" si="2"/>
        <v>4</v>
      </c>
      <c r="AC45" s="17">
        <f t="shared" si="0"/>
        <v>2</v>
      </c>
      <c r="AD45" s="17">
        <f t="shared" si="1"/>
        <v>4</v>
      </c>
      <c r="AE45" s="27">
        <f t="shared" si="3"/>
        <v>6</v>
      </c>
      <c r="AF45" s="27">
        <f t="shared" si="4"/>
        <v>2</v>
      </c>
      <c r="AG45" s="19">
        <f t="shared" si="5"/>
        <v>5.4849999999999994</v>
      </c>
    </row>
    <row r="46" spans="2:33" x14ac:dyDescent="0.25">
      <c r="B46" s="236" t="s">
        <v>36</v>
      </c>
      <c r="C46" s="9"/>
      <c r="D46" s="159"/>
      <c r="E46" s="159"/>
      <c r="F46" s="10"/>
      <c r="G46" s="121"/>
      <c r="H46" s="9" t="s">
        <v>50</v>
      </c>
      <c r="I46" s="159">
        <v>0</v>
      </c>
      <c r="J46" s="159">
        <v>0</v>
      </c>
      <c r="K46" s="10">
        <v>5.5</v>
      </c>
      <c r="L46" s="128"/>
      <c r="M46" s="23"/>
      <c r="N46" s="159"/>
      <c r="O46" s="159"/>
      <c r="P46" s="10"/>
      <c r="Q46" s="121"/>
      <c r="R46" s="9"/>
      <c r="S46" s="159"/>
      <c r="T46" s="159"/>
      <c r="U46" s="10"/>
      <c r="V46" s="128"/>
      <c r="W46" s="259"/>
      <c r="X46" s="4"/>
      <c r="Y46" s="4"/>
      <c r="Z46" s="10"/>
      <c r="AA46" s="125"/>
      <c r="AB46" s="111">
        <f t="shared" si="2"/>
        <v>1</v>
      </c>
      <c r="AC46" s="65">
        <f t="shared" si="0"/>
        <v>0</v>
      </c>
      <c r="AD46" s="65">
        <f t="shared" si="1"/>
        <v>0</v>
      </c>
      <c r="AE46" s="65">
        <f t="shared" si="3"/>
        <v>0</v>
      </c>
      <c r="AF46" s="27">
        <f t="shared" si="4"/>
        <v>0</v>
      </c>
      <c r="AG46" s="69">
        <f t="shared" si="5"/>
        <v>5.5</v>
      </c>
    </row>
    <row r="47" spans="2:33" ht="15.75" thickBot="1" x14ac:dyDescent="0.3">
      <c r="B47" s="236" t="s">
        <v>37</v>
      </c>
      <c r="C47" s="9"/>
      <c r="D47" s="159"/>
      <c r="E47" s="159"/>
      <c r="F47" s="10"/>
      <c r="G47" s="121"/>
      <c r="H47" s="9" t="s">
        <v>50</v>
      </c>
      <c r="I47" s="159">
        <v>2</v>
      </c>
      <c r="J47" s="159">
        <v>0</v>
      </c>
      <c r="K47" s="10">
        <v>6.64</v>
      </c>
      <c r="L47" s="128" t="s">
        <v>76</v>
      </c>
      <c r="M47" s="23"/>
      <c r="N47" s="159"/>
      <c r="O47" s="159"/>
      <c r="P47" s="10"/>
      <c r="Q47" s="121"/>
      <c r="R47" s="9" t="s">
        <v>50</v>
      </c>
      <c r="S47" s="159">
        <v>1</v>
      </c>
      <c r="T47" s="159">
        <v>3</v>
      </c>
      <c r="U47" s="10">
        <v>6.72</v>
      </c>
      <c r="V47" s="128"/>
      <c r="W47" s="263"/>
      <c r="X47" s="110"/>
      <c r="Y47" s="110"/>
      <c r="Z47" s="109"/>
      <c r="AA47" s="126"/>
      <c r="AB47" s="16">
        <f t="shared" ref="AB47" si="6">COUNTIF(C47:Z47,"P")</f>
        <v>2</v>
      </c>
      <c r="AC47" s="18">
        <f t="shared" ref="AC47" si="7">SUM(D47,I47,N47,S47,X47)</f>
        <v>3</v>
      </c>
      <c r="AD47" s="18">
        <f t="shared" ref="AD47" si="8">SUM(E47,J47,O47,T47,Y47)</f>
        <v>3</v>
      </c>
      <c r="AE47" s="18">
        <f t="shared" ref="AE47" si="9">SUM(AC47+AD47)</f>
        <v>6</v>
      </c>
      <c r="AF47" s="27">
        <f t="shared" si="4"/>
        <v>1</v>
      </c>
      <c r="AG47" s="25">
        <f t="shared" ref="AG47" si="10">IFERROR(AVERAGE(F47,K47,P47,U47,Z47),"-")</f>
        <v>6.68</v>
      </c>
    </row>
    <row r="48" spans="2:33" ht="15.75" thickBot="1" x14ac:dyDescent="0.3">
      <c r="B48" s="237" t="s">
        <v>85</v>
      </c>
      <c r="C48" s="9"/>
      <c r="D48" s="159"/>
      <c r="E48" s="159"/>
      <c r="F48" s="10"/>
      <c r="G48" s="121"/>
      <c r="H48" s="9"/>
      <c r="I48" s="159"/>
      <c r="J48" s="159"/>
      <c r="K48" s="10"/>
      <c r="L48" s="128"/>
      <c r="M48" s="23"/>
      <c r="N48" s="159"/>
      <c r="O48" s="159"/>
      <c r="P48" s="10"/>
      <c r="Q48" s="121"/>
      <c r="R48" s="9"/>
      <c r="S48" s="159"/>
      <c r="T48" s="159"/>
      <c r="U48" s="10"/>
      <c r="V48" s="129"/>
      <c r="W48" s="261"/>
      <c r="X48" s="14"/>
      <c r="Y48" s="14"/>
      <c r="Z48" s="13"/>
      <c r="AA48" s="127"/>
      <c r="AB48" s="16">
        <f t="shared" ref="AB48" si="11">COUNTIF(C48:Z48,"P")</f>
        <v>0</v>
      </c>
      <c r="AC48" s="18">
        <f t="shared" ref="AC48" si="12">SUM(D48,I48,N48,S48,X48)</f>
        <v>0</v>
      </c>
      <c r="AD48" s="18">
        <f t="shared" ref="AD48" si="13">SUM(E48,J48,O48,T48,Y48)</f>
        <v>0</v>
      </c>
      <c r="AE48" s="18">
        <f t="shared" ref="AE48" si="14">SUM(AC48+AD48)</f>
        <v>0</v>
      </c>
      <c r="AF48" s="27">
        <f t="shared" si="4"/>
        <v>0</v>
      </c>
      <c r="AG48" s="25" t="str">
        <f t="shared" ref="AG48" si="15">IFERROR(AVERAGE(F48,K48,P48,U48,Z48),"-")</f>
        <v>-</v>
      </c>
    </row>
    <row r="49" spans="2:33" ht="15.75" thickBot="1" x14ac:dyDescent="0.3">
      <c r="B49" s="236" t="s">
        <v>38</v>
      </c>
      <c r="C49" s="107"/>
      <c r="D49" s="108"/>
      <c r="E49" s="108"/>
      <c r="F49" s="109"/>
      <c r="G49" s="122"/>
      <c r="H49" s="107"/>
      <c r="I49" s="108"/>
      <c r="J49" s="108"/>
      <c r="K49" s="109"/>
      <c r="L49" s="129"/>
      <c r="M49" s="245"/>
      <c r="N49" s="108"/>
      <c r="O49" s="108"/>
      <c r="P49" s="109"/>
      <c r="Q49" s="122"/>
      <c r="R49" s="107"/>
      <c r="S49" s="108"/>
      <c r="T49" s="108"/>
      <c r="U49" s="109"/>
      <c r="V49" s="127"/>
      <c r="W49" s="261"/>
      <c r="X49" s="14"/>
      <c r="Y49" s="14"/>
      <c r="Z49" s="13"/>
      <c r="AA49" s="127"/>
      <c r="AB49" s="16">
        <f t="shared" ref="AB49" si="16">COUNTIF(C49:Z49,"P")</f>
        <v>0</v>
      </c>
      <c r="AC49" s="18">
        <f t="shared" ref="AC49" si="17">SUM(D49,I49,N49,S49,X49)</f>
        <v>0</v>
      </c>
      <c r="AD49" s="18">
        <f t="shared" ref="AD49" si="18">SUM(E49,J49,O49,T49,Y49)</f>
        <v>0</v>
      </c>
      <c r="AE49" s="18">
        <f t="shared" ref="AE49" si="19">SUM(AC49+AD49)</f>
        <v>0</v>
      </c>
      <c r="AF49" s="27">
        <f t="shared" si="4"/>
        <v>0</v>
      </c>
      <c r="AG49" s="25" t="str">
        <f t="shared" ref="AG49" si="20">IFERROR(AVERAGE(F49,K49,P49,U49,Z49),"-")</f>
        <v>-</v>
      </c>
    </row>
    <row r="50" spans="2:33" ht="15.75" thickBot="1" x14ac:dyDescent="0.3">
      <c r="B50" s="236" t="s">
        <v>39</v>
      </c>
      <c r="C50" s="11" t="s">
        <v>50</v>
      </c>
      <c r="D50" s="12">
        <v>3</v>
      </c>
      <c r="E50" s="12">
        <v>2</v>
      </c>
      <c r="F50" s="13">
        <v>5.86</v>
      </c>
      <c r="G50" s="123"/>
      <c r="H50" s="11"/>
      <c r="I50" s="12"/>
      <c r="J50" s="12"/>
      <c r="K50" s="13"/>
      <c r="L50" s="127"/>
      <c r="M50" s="24"/>
      <c r="N50" s="12"/>
      <c r="O50" s="12"/>
      <c r="P50" s="13"/>
      <c r="Q50" s="123"/>
      <c r="R50" s="11" t="s">
        <v>50</v>
      </c>
      <c r="S50" s="12">
        <v>4</v>
      </c>
      <c r="T50" s="12">
        <v>0</v>
      </c>
      <c r="U50" s="13">
        <v>6.12</v>
      </c>
      <c r="V50" s="127"/>
      <c r="W50" s="261"/>
      <c r="X50" s="14"/>
      <c r="Y50" s="14"/>
      <c r="Z50" s="13"/>
      <c r="AA50" s="127"/>
      <c r="AB50" s="16">
        <f t="shared" ref="AB50" si="21">COUNTIF(C50:Z50,"P")</f>
        <v>2</v>
      </c>
      <c r="AC50" s="18">
        <f t="shared" ref="AC50" si="22">SUM(D50,I50,N50,S50,X50)</f>
        <v>7</v>
      </c>
      <c r="AD50" s="18">
        <f t="shared" ref="AD50" si="23">SUM(E50,J50,O50,T50,Y50)</f>
        <v>2</v>
      </c>
      <c r="AE50" s="18">
        <f t="shared" ref="AE50" si="24">SUM(AC50+AD50)</f>
        <v>9</v>
      </c>
      <c r="AF50" s="27">
        <f t="shared" ref="AF50" si="25">COUNTIF(G50:AA50,"F")</f>
        <v>0</v>
      </c>
      <c r="AG50" s="25">
        <f t="shared" ref="AG50" si="26">IFERROR(AVERAGE(F50,K50,P50,U50,Z50),"-")</f>
        <v>5.99</v>
      </c>
    </row>
    <row r="51" spans="2:33" ht="15.75" thickBot="1" x14ac:dyDescent="0.3">
      <c r="B51" s="237" t="s">
        <v>80</v>
      </c>
      <c r="C51" s="11"/>
      <c r="D51" s="12"/>
      <c r="E51" s="12"/>
      <c r="F51" s="13"/>
      <c r="G51" s="123"/>
      <c r="H51" s="11"/>
      <c r="I51" s="12"/>
      <c r="J51" s="12"/>
      <c r="K51" s="13"/>
      <c r="L51" s="127"/>
      <c r="M51" s="24"/>
      <c r="N51" s="12"/>
      <c r="O51" s="12"/>
      <c r="P51" s="13"/>
      <c r="Q51" s="123"/>
      <c r="R51" s="11"/>
      <c r="S51" s="12"/>
      <c r="T51" s="12"/>
      <c r="U51" s="13"/>
      <c r="V51" s="127"/>
      <c r="W51" s="261"/>
      <c r="X51" s="14"/>
      <c r="Y51" s="14"/>
      <c r="Z51" s="13"/>
      <c r="AA51" s="127"/>
      <c r="AB51" s="16">
        <f t="shared" ref="AB51:AB52" si="27">COUNTIF(C51:Z51,"P")</f>
        <v>0</v>
      </c>
      <c r="AC51" s="18">
        <f t="shared" ref="AC51:AC52" si="28">SUM(D51,I51,N51,S51,X51)</f>
        <v>0</v>
      </c>
      <c r="AD51" s="18">
        <f t="shared" ref="AD51:AD52" si="29">SUM(E51,J51,O51,T51,Y51)</f>
        <v>0</v>
      </c>
      <c r="AE51" s="18">
        <f t="shared" ref="AE51:AE52" si="30">SUM(AC51+AD51)</f>
        <v>0</v>
      </c>
      <c r="AF51" s="27">
        <f t="shared" ref="AF51:AF52" si="31">COUNTIF(G51:AA51,"F")</f>
        <v>0</v>
      </c>
      <c r="AG51" s="25" t="str">
        <f t="shared" ref="AG51:AG52" si="32">IFERROR(AVERAGE(F51,K51,P51,U51,Z51),"-")</f>
        <v>-</v>
      </c>
    </row>
    <row r="52" spans="2:33" ht="15.75" thickBot="1" x14ac:dyDescent="0.3">
      <c r="B52" s="238" t="s">
        <v>81</v>
      </c>
      <c r="C52" s="11"/>
      <c r="D52" s="12"/>
      <c r="E52" s="12"/>
      <c r="F52" s="13"/>
      <c r="G52" s="123"/>
      <c r="H52" s="11"/>
      <c r="I52" s="12"/>
      <c r="J52" s="12"/>
      <c r="K52" s="13"/>
      <c r="L52" s="127"/>
      <c r="M52" s="24"/>
      <c r="N52" s="12"/>
      <c r="O52" s="12"/>
      <c r="P52" s="13"/>
      <c r="Q52" s="123"/>
      <c r="R52" s="11"/>
      <c r="S52" s="12"/>
      <c r="T52" s="12"/>
      <c r="U52" s="13"/>
      <c r="V52" s="127"/>
      <c r="W52" s="261"/>
      <c r="X52" s="14"/>
      <c r="Y52" s="14"/>
      <c r="Z52" s="13"/>
      <c r="AA52" s="127"/>
      <c r="AB52" s="16">
        <f t="shared" si="27"/>
        <v>0</v>
      </c>
      <c r="AC52" s="18">
        <f t="shared" si="28"/>
        <v>0</v>
      </c>
      <c r="AD52" s="18">
        <f t="shared" si="29"/>
        <v>0</v>
      </c>
      <c r="AE52" s="18">
        <f t="shared" si="30"/>
        <v>0</v>
      </c>
      <c r="AF52" s="268">
        <f t="shared" si="31"/>
        <v>0</v>
      </c>
      <c r="AG52" s="25" t="str">
        <f t="shared" si="32"/>
        <v>-</v>
      </c>
    </row>
    <row r="53" spans="2:33" x14ac:dyDescent="0.25">
      <c r="B53" s="93"/>
      <c r="C53" s="166"/>
      <c r="D53" s="166"/>
      <c r="E53" s="166"/>
      <c r="F53" s="167"/>
      <c r="G53" s="167"/>
      <c r="H53" s="166"/>
      <c r="I53" s="166"/>
      <c r="J53" s="166"/>
      <c r="K53" s="167"/>
      <c r="L53" s="167"/>
      <c r="M53" s="166"/>
      <c r="N53" s="166"/>
      <c r="O53" s="166"/>
      <c r="P53" s="167"/>
      <c r="Q53" s="167"/>
      <c r="R53" s="166"/>
      <c r="S53" s="166"/>
      <c r="T53" s="166"/>
      <c r="U53" s="167"/>
      <c r="V53" s="167"/>
      <c r="W53" s="167"/>
      <c r="X53" s="167"/>
      <c r="Y53" s="169"/>
      <c r="Z53" s="167"/>
      <c r="AA53" s="167"/>
    </row>
    <row r="54" spans="2:33" x14ac:dyDescent="0.25">
      <c r="B54" s="93"/>
      <c r="C54" s="166"/>
      <c r="D54" s="166"/>
      <c r="E54" s="166"/>
      <c r="F54" s="167"/>
      <c r="G54" s="167"/>
      <c r="H54" s="166"/>
      <c r="I54" s="166"/>
      <c r="J54" s="166"/>
      <c r="K54" s="167"/>
      <c r="L54" s="167"/>
      <c r="M54" s="166"/>
      <c r="N54" s="166"/>
      <c r="O54" s="166"/>
      <c r="P54" s="167"/>
      <c r="Q54" s="167"/>
      <c r="R54" s="166"/>
      <c r="S54" s="166"/>
      <c r="T54" s="166"/>
      <c r="U54" s="167"/>
      <c r="V54" s="167"/>
      <c r="W54" s="167"/>
      <c r="X54" s="167"/>
      <c r="Y54" s="167"/>
      <c r="Z54" s="167"/>
      <c r="AA54" s="167"/>
    </row>
    <row r="55" spans="2:33" x14ac:dyDescent="0.25">
      <c r="B55" s="93"/>
      <c r="C55" s="166"/>
      <c r="D55" s="166"/>
      <c r="E55" s="166"/>
      <c r="F55" s="167"/>
      <c r="G55" s="167"/>
      <c r="H55" s="166"/>
      <c r="I55" s="166"/>
      <c r="J55" s="166"/>
      <c r="K55" s="167"/>
      <c r="L55" s="167"/>
      <c r="M55" s="166"/>
      <c r="N55" s="166"/>
      <c r="O55" s="166"/>
      <c r="P55" s="167"/>
      <c r="Q55" s="167"/>
      <c r="R55" s="166"/>
      <c r="S55" s="166"/>
      <c r="T55" s="166"/>
      <c r="U55" s="167"/>
      <c r="V55" s="167"/>
      <c r="W55" s="167"/>
      <c r="X55" s="167"/>
      <c r="Y55" s="167"/>
      <c r="Z55" s="167"/>
      <c r="AA55" s="167"/>
    </row>
    <row r="56" spans="2:33" x14ac:dyDescent="0.25">
      <c r="B56" s="93"/>
      <c r="C56" s="166"/>
      <c r="D56" s="166"/>
      <c r="E56" s="166"/>
      <c r="F56" s="167"/>
      <c r="G56" s="167"/>
      <c r="H56" s="166"/>
      <c r="I56" s="166"/>
      <c r="J56" s="166"/>
      <c r="K56" s="167"/>
      <c r="L56" s="167"/>
      <c r="M56" s="166"/>
      <c r="N56" s="166"/>
      <c r="O56" s="166"/>
      <c r="P56" s="167"/>
      <c r="Q56" s="167"/>
      <c r="R56" s="166"/>
      <c r="S56" s="166"/>
      <c r="T56" s="166"/>
      <c r="U56" s="167"/>
      <c r="V56" s="167"/>
      <c r="W56" s="167"/>
      <c r="X56" s="167"/>
      <c r="Y56" s="167"/>
      <c r="Z56" s="167"/>
      <c r="AA56" s="167"/>
    </row>
    <row r="57" spans="2:33" x14ac:dyDescent="0.25">
      <c r="B57" s="93"/>
      <c r="C57" s="166"/>
      <c r="D57" s="166"/>
      <c r="E57" s="166"/>
      <c r="F57" s="167"/>
      <c r="G57" s="167"/>
      <c r="H57" s="166"/>
      <c r="I57" s="166"/>
      <c r="J57" s="166"/>
      <c r="K57" s="167"/>
      <c r="L57" s="167"/>
      <c r="M57" s="166"/>
      <c r="N57" s="166"/>
      <c r="O57" s="166"/>
      <c r="P57" s="167"/>
      <c r="Q57" s="167"/>
      <c r="R57" s="166"/>
      <c r="S57" s="166"/>
      <c r="T57" s="166"/>
      <c r="U57" s="167"/>
      <c r="V57" s="167"/>
      <c r="W57" s="167"/>
      <c r="X57" s="167"/>
      <c r="Y57" s="167"/>
      <c r="Z57" s="167"/>
      <c r="AA57" s="167"/>
    </row>
  </sheetData>
  <sortState xmlns:xlrd2="http://schemas.microsoft.com/office/spreadsheetml/2017/richdata2" ref="B5:AA57">
    <sortCondition ref="B5:B57"/>
  </sortState>
  <mergeCells count="12">
    <mergeCell ref="B1:AG2"/>
    <mergeCell ref="AG3:AG4"/>
    <mergeCell ref="B3:B4"/>
    <mergeCell ref="C3:F3"/>
    <mergeCell ref="H3:K3"/>
    <mergeCell ref="M3:P3"/>
    <mergeCell ref="R3:U3"/>
    <mergeCell ref="W3:Z3"/>
    <mergeCell ref="AB3:AB4"/>
    <mergeCell ref="AC3:AC4"/>
    <mergeCell ref="AD3:AD4"/>
    <mergeCell ref="AE3:AE4"/>
  </mergeCells>
  <conditionalFormatting sqref="AB5:AB52">
    <cfRule type="dataBar" priority="9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{916A75FA-5541-4F12-8FA0-223517056C15}</x14:id>
        </ext>
      </extLst>
    </cfRule>
  </conditionalFormatting>
  <conditionalFormatting sqref="AC3:AC1048576">
    <cfRule type="top10" dxfId="84" priority="11" rank="1"/>
    <cfRule type="top10" dxfId="83" priority="12" rank="5"/>
  </conditionalFormatting>
  <conditionalFormatting sqref="AD1:AD1048576">
    <cfRule type="top10" dxfId="82" priority="1" rank="1"/>
    <cfRule type="top10" dxfId="81" priority="2" rank="5"/>
  </conditionalFormatting>
  <conditionalFormatting sqref="AE1:AF1048576">
    <cfRule type="top10" dxfId="80" priority="3" rank="1"/>
    <cfRule type="top10" dxfId="79" priority="4" rank="5"/>
  </conditionalFormatting>
  <conditionalFormatting sqref="AG3:AG1048576">
    <cfRule type="top10" dxfId="78" priority="7" rank="1"/>
    <cfRule type="top10" dxfId="77" priority="8" rank="5"/>
  </conditionalFormatting>
  <pageMargins left="0.511811024" right="0.511811024" top="0.78740157499999996" bottom="0.78740157499999996" header="0.31496062000000002" footer="0.31496062000000002"/>
  <pageSetup paperSize="9" orientation="portrait" horizontalDpi="4294967292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6A75FA-5541-4F12-8FA0-223517056C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AB5:AB52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E6B0C-97A3-4509-89E2-117B4F208D5D}">
  <sheetPr codeName="Planilha1">
    <pageSetUpPr fitToPage="1"/>
  </sheetPr>
  <dimension ref="A1:AO57"/>
  <sheetViews>
    <sheetView showGridLines="0" topLeftCell="L1" zoomScale="80" zoomScaleNormal="80" workbookViewId="0">
      <pane ySplit="4" topLeftCell="A5" activePane="bottomLeft" state="frozen"/>
      <selection activeCell="B47" sqref="B47"/>
      <selection pane="bottomLeft" activeCell="B47" sqref="B47"/>
    </sheetView>
  </sheetViews>
  <sheetFormatPr defaultRowHeight="15" x14ac:dyDescent="0.25"/>
  <cols>
    <col min="1" max="1" width="7.140625" customWidth="1"/>
    <col min="2" max="2" width="28.42578125" style="6" customWidth="1"/>
    <col min="3" max="3" width="9.140625" customWidth="1"/>
    <col min="6" max="7" width="9.140625" style="5"/>
    <col min="11" max="12" width="9.140625" style="5"/>
    <col min="16" max="17" width="9.140625" style="5"/>
    <col min="21" max="22" width="9.140625" style="5"/>
    <col min="23" max="23" width="9.140625" style="54"/>
    <col min="24" max="25" width="9.140625" style="120"/>
    <col min="26" max="27" width="9.140625" style="54"/>
    <col min="28" max="28" width="14.7109375" customWidth="1"/>
    <col min="29" max="29" width="14.5703125" style="2" customWidth="1"/>
    <col min="30" max="30" width="13.85546875" style="2" customWidth="1"/>
    <col min="31" max="32" width="6.140625" style="2" customWidth="1"/>
    <col min="33" max="33" width="13.5703125" style="5" customWidth="1"/>
  </cols>
  <sheetData>
    <row r="1" spans="1:33" ht="15" customHeight="1" x14ac:dyDescent="0.25">
      <c r="B1" s="271" t="s">
        <v>42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2"/>
    </row>
    <row r="2" spans="1:33" ht="15" customHeight="1" thickBot="1" x14ac:dyDescent="0.3">
      <c r="A2" s="1"/>
      <c r="B2" s="274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75"/>
      <c r="AC2" s="275"/>
      <c r="AD2" s="275"/>
      <c r="AE2" s="275"/>
      <c r="AF2" s="275"/>
      <c r="AG2" s="275"/>
    </row>
    <row r="3" spans="1:33" x14ac:dyDescent="0.25">
      <c r="B3" s="310" t="s">
        <v>0</v>
      </c>
      <c r="C3" s="303">
        <v>45839</v>
      </c>
      <c r="D3" s="304"/>
      <c r="E3" s="304"/>
      <c r="F3" s="304"/>
      <c r="G3" s="304"/>
      <c r="H3" s="319">
        <f>C3+7</f>
        <v>45846</v>
      </c>
      <c r="I3" s="320"/>
      <c r="J3" s="320"/>
      <c r="K3" s="320"/>
      <c r="L3" s="321"/>
      <c r="M3" s="322">
        <f>H3+7</f>
        <v>45853</v>
      </c>
      <c r="N3" s="322"/>
      <c r="O3" s="322"/>
      <c r="P3" s="322"/>
      <c r="Q3" s="322"/>
      <c r="R3" s="323">
        <f>M3+7</f>
        <v>45860</v>
      </c>
      <c r="S3" s="324"/>
      <c r="T3" s="324"/>
      <c r="U3" s="324"/>
      <c r="V3" s="325"/>
      <c r="W3" s="326">
        <f>R3+7</f>
        <v>45867</v>
      </c>
      <c r="X3" s="326"/>
      <c r="Y3" s="326"/>
      <c r="Z3" s="326"/>
      <c r="AA3" s="327"/>
      <c r="AB3" s="279" t="s">
        <v>45</v>
      </c>
      <c r="AC3" s="281" t="s">
        <v>46</v>
      </c>
      <c r="AD3" s="281" t="s">
        <v>47</v>
      </c>
      <c r="AE3" s="281" t="s">
        <v>72</v>
      </c>
      <c r="AF3" s="281" t="s">
        <v>75</v>
      </c>
      <c r="AG3" s="299" t="s">
        <v>48</v>
      </c>
    </row>
    <row r="4" spans="1:33" ht="15.75" thickBot="1" x14ac:dyDescent="0.3">
      <c r="B4" s="314"/>
      <c r="C4" s="191" t="s">
        <v>49</v>
      </c>
      <c r="D4" s="192" t="s">
        <v>43</v>
      </c>
      <c r="E4" s="192" t="s">
        <v>2</v>
      </c>
      <c r="F4" s="193" t="s">
        <v>40</v>
      </c>
      <c r="G4" s="239" t="s">
        <v>75</v>
      </c>
      <c r="H4" s="195" t="s">
        <v>49</v>
      </c>
      <c r="I4" s="196" t="s">
        <v>43</v>
      </c>
      <c r="J4" s="196" t="s">
        <v>2</v>
      </c>
      <c r="K4" s="197" t="s">
        <v>40</v>
      </c>
      <c r="L4" s="198" t="s">
        <v>75</v>
      </c>
      <c r="M4" s="214" t="s">
        <v>49</v>
      </c>
      <c r="N4" s="199" t="s">
        <v>44</v>
      </c>
      <c r="O4" s="199" t="s">
        <v>2</v>
      </c>
      <c r="P4" s="200" t="s">
        <v>40</v>
      </c>
      <c r="Q4" s="215" t="s">
        <v>75</v>
      </c>
      <c r="R4" s="202" t="s">
        <v>49</v>
      </c>
      <c r="S4" s="203" t="s">
        <v>43</v>
      </c>
      <c r="T4" s="203" t="s">
        <v>2</v>
      </c>
      <c r="U4" s="204" t="s">
        <v>40</v>
      </c>
      <c r="V4" s="205" t="s">
        <v>75</v>
      </c>
      <c r="W4" s="258" t="s">
        <v>49</v>
      </c>
      <c r="X4" s="206" t="s">
        <v>43</v>
      </c>
      <c r="Y4" s="206" t="s">
        <v>2</v>
      </c>
      <c r="Z4" s="207" t="s">
        <v>40</v>
      </c>
      <c r="AA4" s="208" t="s">
        <v>75</v>
      </c>
      <c r="AB4" s="315"/>
      <c r="AC4" s="316"/>
      <c r="AD4" s="316"/>
      <c r="AE4" s="316"/>
      <c r="AF4" s="302"/>
      <c r="AG4" s="317"/>
    </row>
    <row r="5" spans="1:33" x14ac:dyDescent="0.25">
      <c r="B5" s="236" t="s">
        <v>3</v>
      </c>
      <c r="C5" s="165" t="s">
        <v>50</v>
      </c>
      <c r="D5" s="186">
        <v>1</v>
      </c>
      <c r="E5" s="186">
        <v>3</v>
      </c>
      <c r="F5" s="224">
        <v>5.5</v>
      </c>
      <c r="G5" s="190"/>
      <c r="H5" s="165" t="s">
        <v>50</v>
      </c>
      <c r="I5" s="186">
        <v>3</v>
      </c>
      <c r="J5" s="186">
        <v>2</v>
      </c>
      <c r="K5" s="224">
        <v>6.26</v>
      </c>
      <c r="L5" s="188"/>
      <c r="M5" s="235" t="s">
        <v>50</v>
      </c>
      <c r="N5" s="186">
        <v>3</v>
      </c>
      <c r="O5" s="186">
        <v>0</v>
      </c>
      <c r="P5" s="224">
        <v>7.08</v>
      </c>
      <c r="Q5" s="256" t="s">
        <v>76</v>
      </c>
      <c r="R5" s="165" t="s">
        <v>50</v>
      </c>
      <c r="S5" s="186">
        <v>0</v>
      </c>
      <c r="T5" s="186">
        <v>1</v>
      </c>
      <c r="U5" s="224">
        <v>5</v>
      </c>
      <c r="V5" s="188"/>
      <c r="W5" s="260" t="s">
        <v>50</v>
      </c>
      <c r="X5" s="187">
        <v>0</v>
      </c>
      <c r="Y5" s="187">
        <v>0</v>
      </c>
      <c r="Z5" s="224">
        <v>5.64</v>
      </c>
      <c r="AA5" s="188"/>
      <c r="AB5" s="15">
        <f>COUNTIF(C5:Z5,"P")</f>
        <v>5</v>
      </c>
      <c r="AC5" s="17">
        <f t="shared" ref="AC5:AC46" si="0">SUM(D5,I5,N5,S5,X5)</f>
        <v>7</v>
      </c>
      <c r="AD5" s="17">
        <f t="shared" ref="AD5:AD46" si="1">SUM(E5,J5,O5,T5,Y5)</f>
        <v>6</v>
      </c>
      <c r="AE5" s="17">
        <f>SUM(AC5+AD5)</f>
        <v>13</v>
      </c>
      <c r="AF5" s="17">
        <f>COUNTIF(G5:AA5,"F")</f>
        <v>1</v>
      </c>
      <c r="AG5" s="19">
        <f>IFERROR(AVERAGE(F5,K5,P5,U5,Z5),"-")</f>
        <v>5.8959999999999999</v>
      </c>
    </row>
    <row r="6" spans="1:33" x14ac:dyDescent="0.25">
      <c r="B6" s="236" t="s">
        <v>4</v>
      </c>
      <c r="C6" s="9"/>
      <c r="D6" s="159"/>
      <c r="E6" s="159"/>
      <c r="F6" s="4"/>
      <c r="G6" s="37"/>
      <c r="H6" s="9"/>
      <c r="I6" s="159"/>
      <c r="J6" s="159"/>
      <c r="K6" s="4"/>
      <c r="L6" s="10"/>
      <c r="M6" s="23"/>
      <c r="N6" s="159"/>
      <c r="O6" s="159"/>
      <c r="P6" s="4"/>
      <c r="Q6" s="37"/>
      <c r="R6" s="9"/>
      <c r="S6" s="159"/>
      <c r="T6" s="159"/>
      <c r="U6" s="4"/>
      <c r="V6" s="10"/>
      <c r="W6" s="259"/>
      <c r="X6" s="3"/>
      <c r="Y6" s="3"/>
      <c r="Z6" s="4"/>
      <c r="AA6" s="10"/>
      <c r="AB6" s="15">
        <f t="shared" ref="AB6:AB46" si="2">COUNTIF(C6:Z6,"P")</f>
        <v>0</v>
      </c>
      <c r="AC6" s="17">
        <f t="shared" si="0"/>
        <v>0</v>
      </c>
      <c r="AD6" s="17">
        <f t="shared" si="1"/>
        <v>0</v>
      </c>
      <c r="AE6" s="17">
        <f t="shared" ref="AE6:AE46" si="3">SUM(AC6+AD6)</f>
        <v>0</v>
      </c>
      <c r="AF6" s="17">
        <f t="shared" ref="AF6:AF48" si="4">COUNTIF(G6:AA6,"F")</f>
        <v>0</v>
      </c>
      <c r="AG6" s="19" t="str">
        <f t="shared" ref="AG6:AG46" si="5">IFERROR(AVERAGE(F6,K6,P6,U6,Z6),"-")</f>
        <v>-</v>
      </c>
    </row>
    <row r="7" spans="1:33" x14ac:dyDescent="0.25">
      <c r="B7" s="236" t="s">
        <v>5</v>
      </c>
      <c r="C7" s="9"/>
      <c r="D7" s="159"/>
      <c r="E7" s="159"/>
      <c r="F7" s="4"/>
      <c r="G7" s="37"/>
      <c r="H7" s="9"/>
      <c r="I7" s="159"/>
      <c r="J7" s="159"/>
      <c r="K7" s="4"/>
      <c r="L7" s="10"/>
      <c r="M7" s="23"/>
      <c r="N7" s="159"/>
      <c r="O7" s="159"/>
      <c r="P7" s="4"/>
      <c r="Q7" s="37"/>
      <c r="R7" s="9"/>
      <c r="S7" s="159"/>
      <c r="T7" s="159"/>
      <c r="U7" s="4"/>
      <c r="V7" s="10"/>
      <c r="W7" s="259"/>
      <c r="X7" s="3"/>
      <c r="Y7" s="3"/>
      <c r="Z7" s="4"/>
      <c r="AA7" s="10"/>
      <c r="AB7" s="15">
        <f t="shared" si="2"/>
        <v>0</v>
      </c>
      <c r="AC7" s="17">
        <f t="shared" si="0"/>
        <v>0</v>
      </c>
      <c r="AD7" s="17">
        <f t="shared" si="1"/>
        <v>0</v>
      </c>
      <c r="AE7" s="17">
        <f t="shared" si="3"/>
        <v>0</v>
      </c>
      <c r="AF7" s="17">
        <f t="shared" si="4"/>
        <v>0</v>
      </c>
      <c r="AG7" s="19" t="str">
        <f t="shared" si="5"/>
        <v>-</v>
      </c>
    </row>
    <row r="8" spans="1:33" x14ac:dyDescent="0.25">
      <c r="B8" s="236" t="s">
        <v>74</v>
      </c>
      <c r="C8" s="9"/>
      <c r="D8" s="159"/>
      <c r="E8" s="159"/>
      <c r="F8" s="4"/>
      <c r="G8" s="37"/>
      <c r="H8" s="9"/>
      <c r="I8" s="159"/>
      <c r="J8" s="159"/>
      <c r="K8" s="4"/>
      <c r="L8" s="10"/>
      <c r="M8" s="23" t="s">
        <v>50</v>
      </c>
      <c r="N8" s="159">
        <v>0</v>
      </c>
      <c r="O8" s="159">
        <v>0</v>
      </c>
      <c r="P8" s="4">
        <v>6.58</v>
      </c>
      <c r="Q8" s="257" t="s">
        <v>76</v>
      </c>
      <c r="R8" s="117"/>
      <c r="S8" s="159"/>
      <c r="T8" s="159"/>
      <c r="U8" s="4"/>
      <c r="V8" s="10"/>
      <c r="W8" s="259" t="s">
        <v>50</v>
      </c>
      <c r="X8" s="3">
        <v>0</v>
      </c>
      <c r="Y8" s="3">
        <v>0</v>
      </c>
      <c r="Z8" s="4">
        <v>8.16</v>
      </c>
      <c r="AA8" s="134" t="s">
        <v>76</v>
      </c>
      <c r="AB8" s="15">
        <f t="shared" si="2"/>
        <v>2</v>
      </c>
      <c r="AC8" s="17">
        <f t="shared" si="0"/>
        <v>0</v>
      </c>
      <c r="AD8" s="17">
        <f t="shared" si="1"/>
        <v>0</v>
      </c>
      <c r="AE8" s="17">
        <f t="shared" si="3"/>
        <v>0</v>
      </c>
      <c r="AF8" s="17">
        <f t="shared" si="4"/>
        <v>2</v>
      </c>
      <c r="AG8" s="19">
        <f t="shared" si="5"/>
        <v>7.37</v>
      </c>
    </row>
    <row r="9" spans="1:33" x14ac:dyDescent="0.25">
      <c r="B9" s="236" t="s">
        <v>6</v>
      </c>
      <c r="C9" s="9" t="s">
        <v>50</v>
      </c>
      <c r="D9" s="159">
        <v>0</v>
      </c>
      <c r="E9" s="159">
        <v>1</v>
      </c>
      <c r="F9" s="4">
        <v>5.3</v>
      </c>
      <c r="G9" s="37"/>
      <c r="H9" s="9"/>
      <c r="I9" s="159"/>
      <c r="J9" s="159"/>
      <c r="K9" s="4"/>
      <c r="L9" s="10"/>
      <c r="M9" s="23"/>
      <c r="N9" s="159"/>
      <c r="O9" s="159"/>
      <c r="P9" s="4"/>
      <c r="Q9" s="37"/>
      <c r="R9" s="117" t="s">
        <v>50</v>
      </c>
      <c r="S9" s="159">
        <v>0</v>
      </c>
      <c r="T9" s="159">
        <v>0</v>
      </c>
      <c r="U9" s="4">
        <v>5.3</v>
      </c>
      <c r="V9" s="135" t="s">
        <v>76</v>
      </c>
      <c r="W9" s="259" t="s">
        <v>50</v>
      </c>
      <c r="X9" s="3">
        <v>0</v>
      </c>
      <c r="Y9" s="3">
        <v>1</v>
      </c>
      <c r="Z9" s="4">
        <v>6.64</v>
      </c>
      <c r="AA9" s="134" t="s">
        <v>76</v>
      </c>
      <c r="AB9" s="15">
        <f t="shared" si="2"/>
        <v>3</v>
      </c>
      <c r="AC9" s="17">
        <f t="shared" si="0"/>
        <v>0</v>
      </c>
      <c r="AD9" s="17">
        <f t="shared" si="1"/>
        <v>2</v>
      </c>
      <c r="AE9" s="17">
        <f t="shared" si="3"/>
        <v>2</v>
      </c>
      <c r="AF9" s="17">
        <f t="shared" si="4"/>
        <v>2</v>
      </c>
      <c r="AG9" s="19">
        <f t="shared" si="5"/>
        <v>5.7466666666666661</v>
      </c>
    </row>
    <row r="10" spans="1:33" x14ac:dyDescent="0.25">
      <c r="B10" s="236" t="s">
        <v>7</v>
      </c>
      <c r="C10" s="9"/>
      <c r="D10" s="159"/>
      <c r="E10" s="159"/>
      <c r="F10" s="4"/>
      <c r="G10" s="37"/>
      <c r="H10" s="9" t="s">
        <v>50</v>
      </c>
      <c r="I10" s="159">
        <v>0</v>
      </c>
      <c r="J10" s="159">
        <v>0</v>
      </c>
      <c r="K10" s="4">
        <v>3.92</v>
      </c>
      <c r="L10" s="10"/>
      <c r="M10" s="23"/>
      <c r="N10" s="159"/>
      <c r="O10" s="159"/>
      <c r="P10" s="4"/>
      <c r="Q10" s="37"/>
      <c r="R10" s="9"/>
      <c r="S10" s="159"/>
      <c r="T10" s="159"/>
      <c r="U10" s="4"/>
      <c r="V10" s="10"/>
      <c r="W10" s="259"/>
      <c r="X10" s="3"/>
      <c r="Y10" s="3"/>
      <c r="Z10" s="4"/>
      <c r="AA10" s="10"/>
      <c r="AB10" s="15">
        <f t="shared" si="2"/>
        <v>1</v>
      </c>
      <c r="AC10" s="17">
        <f t="shared" si="0"/>
        <v>0</v>
      </c>
      <c r="AD10" s="17">
        <f t="shared" si="1"/>
        <v>0</v>
      </c>
      <c r="AE10" s="17">
        <f t="shared" si="3"/>
        <v>0</v>
      </c>
      <c r="AF10" s="17">
        <f t="shared" si="4"/>
        <v>0</v>
      </c>
      <c r="AG10" s="19">
        <f t="shared" si="5"/>
        <v>3.92</v>
      </c>
    </row>
    <row r="11" spans="1:33" x14ac:dyDescent="0.25">
      <c r="B11" s="236" t="s">
        <v>8</v>
      </c>
      <c r="C11" s="9"/>
      <c r="D11" s="159"/>
      <c r="E11" s="159"/>
      <c r="F11" s="4"/>
      <c r="G11" s="37"/>
      <c r="H11" s="9" t="s">
        <v>50</v>
      </c>
      <c r="I11" s="159">
        <v>4</v>
      </c>
      <c r="J11" s="159">
        <v>4</v>
      </c>
      <c r="K11" s="4">
        <v>7.04</v>
      </c>
      <c r="L11" s="135" t="s">
        <v>76</v>
      </c>
      <c r="M11" s="23"/>
      <c r="N11" s="159"/>
      <c r="O11" s="159"/>
      <c r="P11" s="4"/>
      <c r="Q11" s="37"/>
      <c r="R11" s="9" t="s">
        <v>50</v>
      </c>
      <c r="S11" s="159">
        <v>1</v>
      </c>
      <c r="T11" s="159">
        <v>2</v>
      </c>
      <c r="U11" s="4">
        <v>5.72</v>
      </c>
      <c r="V11" s="10"/>
      <c r="W11" s="259" t="s">
        <v>50</v>
      </c>
      <c r="X11" s="3">
        <v>0</v>
      </c>
      <c r="Y11" s="3">
        <v>1</v>
      </c>
      <c r="Z11" s="4">
        <v>6.48</v>
      </c>
      <c r="AA11" s="10"/>
      <c r="AB11" s="15">
        <f t="shared" si="2"/>
        <v>3</v>
      </c>
      <c r="AC11" s="17">
        <f t="shared" si="0"/>
        <v>5</v>
      </c>
      <c r="AD11" s="17">
        <f t="shared" si="1"/>
        <v>7</v>
      </c>
      <c r="AE11" s="17">
        <f t="shared" si="3"/>
        <v>12</v>
      </c>
      <c r="AF11" s="17">
        <f t="shared" si="4"/>
        <v>1</v>
      </c>
      <c r="AG11" s="19">
        <f t="shared" si="5"/>
        <v>6.413333333333334</v>
      </c>
    </row>
    <row r="12" spans="1:33" x14ac:dyDescent="0.25">
      <c r="B12" s="236" t="s">
        <v>9</v>
      </c>
      <c r="C12" s="9" t="s">
        <v>50</v>
      </c>
      <c r="D12" s="159">
        <v>5</v>
      </c>
      <c r="E12" s="159">
        <v>3</v>
      </c>
      <c r="F12" s="4">
        <v>8.3000000000000007</v>
      </c>
      <c r="G12" s="153" t="s">
        <v>76</v>
      </c>
      <c r="H12" s="9" t="s">
        <v>50</v>
      </c>
      <c r="I12" s="159">
        <v>2</v>
      </c>
      <c r="J12" s="159">
        <v>1</v>
      </c>
      <c r="K12" s="4">
        <v>5.66</v>
      </c>
      <c r="L12" s="10"/>
      <c r="M12" s="23" t="s">
        <v>50</v>
      </c>
      <c r="N12" s="159">
        <v>3</v>
      </c>
      <c r="O12" s="159">
        <v>1</v>
      </c>
      <c r="P12" s="4">
        <v>6.64</v>
      </c>
      <c r="Q12" s="257" t="s">
        <v>76</v>
      </c>
      <c r="R12" s="9" t="s">
        <v>50</v>
      </c>
      <c r="S12" s="159">
        <v>3</v>
      </c>
      <c r="T12" s="159">
        <v>2</v>
      </c>
      <c r="U12" s="4">
        <v>7.3</v>
      </c>
      <c r="V12" s="135" t="s">
        <v>76</v>
      </c>
      <c r="W12" s="259" t="s">
        <v>50</v>
      </c>
      <c r="X12" s="3">
        <v>2</v>
      </c>
      <c r="Y12" s="3">
        <v>0</v>
      </c>
      <c r="Z12" s="4">
        <v>7.3</v>
      </c>
      <c r="AA12" s="134" t="s">
        <v>76</v>
      </c>
      <c r="AB12" s="15">
        <f t="shared" si="2"/>
        <v>5</v>
      </c>
      <c r="AC12" s="17">
        <f t="shared" si="0"/>
        <v>15</v>
      </c>
      <c r="AD12" s="17">
        <f t="shared" si="1"/>
        <v>7</v>
      </c>
      <c r="AE12" s="17">
        <f t="shared" si="3"/>
        <v>22</v>
      </c>
      <c r="AF12" s="17">
        <f t="shared" si="4"/>
        <v>4</v>
      </c>
      <c r="AG12" s="19">
        <f t="shared" si="5"/>
        <v>7.0400000000000009</v>
      </c>
    </row>
    <row r="13" spans="1:33" x14ac:dyDescent="0.25">
      <c r="B13" s="236" t="s">
        <v>10</v>
      </c>
      <c r="C13" s="9" t="s">
        <v>50</v>
      </c>
      <c r="D13" s="159">
        <v>3</v>
      </c>
      <c r="E13" s="159">
        <v>1</v>
      </c>
      <c r="F13" s="4">
        <v>5.7</v>
      </c>
      <c r="G13" s="153" t="s">
        <v>76</v>
      </c>
      <c r="H13" s="9" t="s">
        <v>50</v>
      </c>
      <c r="I13" s="159">
        <v>2</v>
      </c>
      <c r="J13" s="159">
        <v>1</v>
      </c>
      <c r="K13" s="4">
        <v>6.08</v>
      </c>
      <c r="L13" s="135" t="s">
        <v>76</v>
      </c>
      <c r="M13" s="23" t="s">
        <v>50</v>
      </c>
      <c r="N13" s="159">
        <v>3</v>
      </c>
      <c r="O13" s="159">
        <v>2</v>
      </c>
      <c r="P13" s="4">
        <v>7.08</v>
      </c>
      <c r="Q13" s="257" t="s">
        <v>76</v>
      </c>
      <c r="R13" s="9"/>
      <c r="S13" s="159"/>
      <c r="T13" s="159"/>
      <c r="U13" s="4"/>
      <c r="V13" s="10"/>
      <c r="W13" s="259"/>
      <c r="X13" s="3"/>
      <c r="Y13" s="3"/>
      <c r="Z13" s="4"/>
      <c r="AA13" s="10"/>
      <c r="AB13" s="15">
        <f t="shared" si="2"/>
        <v>3</v>
      </c>
      <c r="AC13" s="17">
        <f t="shared" si="0"/>
        <v>8</v>
      </c>
      <c r="AD13" s="17">
        <f t="shared" si="1"/>
        <v>4</v>
      </c>
      <c r="AE13" s="17">
        <f t="shared" si="3"/>
        <v>12</v>
      </c>
      <c r="AF13" s="17">
        <f t="shared" si="4"/>
        <v>3</v>
      </c>
      <c r="AG13" s="19">
        <f t="shared" si="5"/>
        <v>6.2866666666666662</v>
      </c>
    </row>
    <row r="14" spans="1:33" x14ac:dyDescent="0.25">
      <c r="B14" s="236" t="s">
        <v>11</v>
      </c>
      <c r="C14" s="9" t="s">
        <v>50</v>
      </c>
      <c r="D14" s="159">
        <v>0</v>
      </c>
      <c r="E14" s="159">
        <v>1</v>
      </c>
      <c r="F14" s="4">
        <v>6.8</v>
      </c>
      <c r="G14" s="153" t="s">
        <v>76</v>
      </c>
      <c r="H14" s="9" t="s">
        <v>50</v>
      </c>
      <c r="I14" s="159">
        <v>1</v>
      </c>
      <c r="J14" s="159">
        <v>0</v>
      </c>
      <c r="K14" s="4">
        <v>5.52</v>
      </c>
      <c r="L14" s="10"/>
      <c r="M14" s="23"/>
      <c r="N14" s="159"/>
      <c r="O14" s="159"/>
      <c r="P14" s="4"/>
      <c r="Q14" s="37"/>
      <c r="R14" s="9"/>
      <c r="S14" s="159"/>
      <c r="T14" s="159"/>
      <c r="U14" s="4"/>
      <c r="V14" s="10"/>
      <c r="W14" s="259"/>
      <c r="X14" s="3"/>
      <c r="Y14" s="3"/>
      <c r="Z14" s="4"/>
      <c r="AA14" s="10"/>
      <c r="AB14" s="15">
        <f t="shared" si="2"/>
        <v>2</v>
      </c>
      <c r="AC14" s="17">
        <f t="shared" si="0"/>
        <v>1</v>
      </c>
      <c r="AD14" s="17">
        <f t="shared" si="1"/>
        <v>1</v>
      </c>
      <c r="AE14" s="17">
        <f t="shared" si="3"/>
        <v>2</v>
      </c>
      <c r="AF14" s="17">
        <f t="shared" si="4"/>
        <v>1</v>
      </c>
      <c r="AG14" s="19">
        <f t="shared" si="5"/>
        <v>6.16</v>
      </c>
    </row>
    <row r="15" spans="1:33" x14ac:dyDescent="0.25">
      <c r="B15" s="237" t="s">
        <v>83</v>
      </c>
      <c r="C15" s="9"/>
      <c r="D15" s="159"/>
      <c r="E15" s="159"/>
      <c r="F15" s="4"/>
      <c r="G15" s="37"/>
      <c r="H15" s="9"/>
      <c r="I15" s="159"/>
      <c r="J15" s="159"/>
      <c r="K15" s="4"/>
      <c r="L15" s="10"/>
      <c r="M15" s="23"/>
      <c r="N15" s="159"/>
      <c r="O15" s="159"/>
      <c r="P15" s="4"/>
      <c r="Q15" s="37"/>
      <c r="R15" s="9"/>
      <c r="S15" s="159"/>
      <c r="T15" s="159"/>
      <c r="U15" s="4"/>
      <c r="V15" s="10"/>
      <c r="W15" s="259"/>
      <c r="X15" s="3"/>
      <c r="Y15" s="3"/>
      <c r="Z15" s="4"/>
      <c r="AA15" s="10"/>
      <c r="AB15" s="15">
        <f t="shared" si="2"/>
        <v>0</v>
      </c>
      <c r="AC15" s="17">
        <f t="shared" si="0"/>
        <v>0</v>
      </c>
      <c r="AD15" s="17">
        <f t="shared" si="1"/>
        <v>0</v>
      </c>
      <c r="AE15" s="17">
        <f t="shared" si="3"/>
        <v>0</v>
      </c>
      <c r="AF15" s="17">
        <f t="shared" si="4"/>
        <v>0</v>
      </c>
      <c r="AG15" s="19" t="str">
        <f t="shared" si="5"/>
        <v>-</v>
      </c>
    </row>
    <row r="16" spans="1:33" x14ac:dyDescent="0.25">
      <c r="B16" s="236" t="s">
        <v>12</v>
      </c>
      <c r="C16" s="9" t="s">
        <v>50</v>
      </c>
      <c r="D16" s="159">
        <v>0</v>
      </c>
      <c r="E16" s="159">
        <v>0</v>
      </c>
      <c r="F16" s="4">
        <v>6.96</v>
      </c>
      <c r="G16" s="37"/>
      <c r="H16" s="9" t="s">
        <v>50</v>
      </c>
      <c r="I16" s="159">
        <v>0</v>
      </c>
      <c r="J16" s="159">
        <v>0</v>
      </c>
      <c r="K16" s="4">
        <v>6.14</v>
      </c>
      <c r="L16" s="10"/>
      <c r="M16" s="23"/>
      <c r="N16" s="159"/>
      <c r="O16" s="159"/>
      <c r="P16" s="4"/>
      <c r="Q16" s="37"/>
      <c r="R16" s="9" t="s">
        <v>50</v>
      </c>
      <c r="S16" s="159">
        <v>0</v>
      </c>
      <c r="T16" s="159">
        <v>0</v>
      </c>
      <c r="U16" s="4">
        <v>7.2</v>
      </c>
      <c r="V16" s="10"/>
      <c r="W16" s="259" t="s">
        <v>50</v>
      </c>
      <c r="X16" s="3">
        <v>0</v>
      </c>
      <c r="Y16" s="3">
        <v>0</v>
      </c>
      <c r="Z16" s="4">
        <v>6.24</v>
      </c>
      <c r="AA16" s="10"/>
      <c r="AB16" s="15">
        <f t="shared" si="2"/>
        <v>4</v>
      </c>
      <c r="AC16" s="17">
        <f t="shared" si="0"/>
        <v>0</v>
      </c>
      <c r="AD16" s="17">
        <f t="shared" si="1"/>
        <v>0</v>
      </c>
      <c r="AE16" s="17">
        <f t="shared" si="3"/>
        <v>0</v>
      </c>
      <c r="AF16" s="17">
        <f t="shared" si="4"/>
        <v>0</v>
      </c>
      <c r="AG16" s="19">
        <f t="shared" si="5"/>
        <v>6.6349999999999998</v>
      </c>
    </row>
    <row r="17" spans="2:33" x14ac:dyDescent="0.25">
      <c r="B17" s="236" t="s">
        <v>56</v>
      </c>
      <c r="C17" s="9" t="s">
        <v>50</v>
      </c>
      <c r="D17" s="159">
        <v>0</v>
      </c>
      <c r="E17" s="159">
        <v>0</v>
      </c>
      <c r="F17" s="4">
        <v>6.2</v>
      </c>
      <c r="G17" s="37"/>
      <c r="H17" s="9" t="s">
        <v>50</v>
      </c>
      <c r="I17" s="159">
        <v>0</v>
      </c>
      <c r="J17" s="159">
        <v>0</v>
      </c>
      <c r="K17" s="4">
        <v>7.14</v>
      </c>
      <c r="L17" s="135" t="s">
        <v>76</v>
      </c>
      <c r="M17" s="23" t="s">
        <v>50</v>
      </c>
      <c r="N17" s="159">
        <v>0</v>
      </c>
      <c r="O17" s="159">
        <v>0</v>
      </c>
      <c r="P17" s="4">
        <v>5.64</v>
      </c>
      <c r="Q17" s="37"/>
      <c r="R17" s="9" t="s">
        <v>50</v>
      </c>
      <c r="S17" s="159">
        <v>0</v>
      </c>
      <c r="T17" s="159">
        <v>0</v>
      </c>
      <c r="U17" s="4">
        <v>6</v>
      </c>
      <c r="V17" s="135" t="s">
        <v>76</v>
      </c>
      <c r="W17" s="259" t="s">
        <v>50</v>
      </c>
      <c r="X17" s="3">
        <v>0</v>
      </c>
      <c r="Y17" s="3">
        <v>0</v>
      </c>
      <c r="Z17" s="4">
        <v>4.76</v>
      </c>
      <c r="AA17" s="10"/>
      <c r="AB17" s="15">
        <f t="shared" si="2"/>
        <v>5</v>
      </c>
      <c r="AC17" s="17">
        <f t="shared" si="0"/>
        <v>0</v>
      </c>
      <c r="AD17" s="17">
        <f t="shared" si="1"/>
        <v>0</v>
      </c>
      <c r="AE17" s="17">
        <f t="shared" si="3"/>
        <v>0</v>
      </c>
      <c r="AF17" s="17">
        <f t="shared" si="4"/>
        <v>2</v>
      </c>
      <c r="AG17" s="19">
        <f t="shared" si="5"/>
        <v>5.9480000000000004</v>
      </c>
    </row>
    <row r="18" spans="2:33" x14ac:dyDescent="0.25">
      <c r="B18" s="236" t="s">
        <v>13</v>
      </c>
      <c r="C18" s="9"/>
      <c r="D18" s="159"/>
      <c r="E18" s="159"/>
      <c r="F18" s="4"/>
      <c r="G18" s="37"/>
      <c r="H18" s="9"/>
      <c r="I18" s="159"/>
      <c r="J18" s="159"/>
      <c r="K18" s="4"/>
      <c r="L18" s="10"/>
      <c r="M18" s="23"/>
      <c r="N18" s="159"/>
      <c r="O18" s="159"/>
      <c r="P18" s="4"/>
      <c r="Q18" s="37"/>
      <c r="R18" s="9"/>
      <c r="S18" s="159"/>
      <c r="T18" s="159"/>
      <c r="U18" s="4"/>
      <c r="V18" s="10"/>
      <c r="W18" s="259"/>
      <c r="X18" s="3"/>
      <c r="Y18" s="3"/>
      <c r="Z18" s="4"/>
      <c r="AA18" s="10"/>
      <c r="AB18" s="15">
        <f t="shared" si="2"/>
        <v>0</v>
      </c>
      <c r="AC18" s="17">
        <f t="shared" si="0"/>
        <v>0</v>
      </c>
      <c r="AD18" s="17">
        <f t="shared" si="1"/>
        <v>0</v>
      </c>
      <c r="AE18" s="17">
        <f t="shared" si="3"/>
        <v>0</v>
      </c>
      <c r="AF18" s="17">
        <f t="shared" si="4"/>
        <v>0</v>
      </c>
      <c r="AG18" s="19" t="str">
        <f t="shared" si="5"/>
        <v>-</v>
      </c>
    </row>
    <row r="19" spans="2:33" x14ac:dyDescent="0.25">
      <c r="B19" s="236" t="s">
        <v>14</v>
      </c>
      <c r="C19" s="9"/>
      <c r="D19" s="159"/>
      <c r="E19" s="159"/>
      <c r="F19" s="4"/>
      <c r="G19" s="37"/>
      <c r="H19" s="9" t="s">
        <v>50</v>
      </c>
      <c r="I19" s="159">
        <v>0</v>
      </c>
      <c r="J19" s="159">
        <v>0</v>
      </c>
      <c r="K19" s="4">
        <v>4.34</v>
      </c>
      <c r="L19" s="10"/>
      <c r="M19" s="23" t="s">
        <v>50</v>
      </c>
      <c r="N19" s="159">
        <v>0</v>
      </c>
      <c r="O19" s="159">
        <v>2</v>
      </c>
      <c r="P19" s="4">
        <v>5.4</v>
      </c>
      <c r="Q19" s="37"/>
      <c r="R19" s="9" t="s">
        <v>50</v>
      </c>
      <c r="S19" s="159">
        <v>1</v>
      </c>
      <c r="T19" s="159">
        <v>4</v>
      </c>
      <c r="U19" s="4">
        <v>5.7</v>
      </c>
      <c r="V19" s="10"/>
      <c r="W19" s="259" t="s">
        <v>50</v>
      </c>
      <c r="X19" s="3">
        <v>1</v>
      </c>
      <c r="Y19" s="3">
        <v>0</v>
      </c>
      <c r="Z19" s="4">
        <v>5.0599999999999996</v>
      </c>
      <c r="AA19" s="10"/>
      <c r="AB19" s="15">
        <f t="shared" si="2"/>
        <v>4</v>
      </c>
      <c r="AC19" s="17">
        <f t="shared" si="0"/>
        <v>2</v>
      </c>
      <c r="AD19" s="17">
        <f t="shared" si="1"/>
        <v>6</v>
      </c>
      <c r="AE19" s="17">
        <f t="shared" si="3"/>
        <v>8</v>
      </c>
      <c r="AF19" s="17">
        <f t="shared" si="4"/>
        <v>0</v>
      </c>
      <c r="AG19" s="19">
        <f t="shared" si="5"/>
        <v>5.125</v>
      </c>
    </row>
    <row r="20" spans="2:33" x14ac:dyDescent="0.25">
      <c r="B20" s="237" t="s">
        <v>86</v>
      </c>
      <c r="C20" s="9"/>
      <c r="D20" s="159"/>
      <c r="E20" s="159"/>
      <c r="F20" s="4"/>
      <c r="G20" s="37"/>
      <c r="H20" s="9"/>
      <c r="I20" s="159"/>
      <c r="J20" s="159"/>
      <c r="K20" s="4"/>
      <c r="L20" s="10"/>
      <c r="M20" s="23"/>
      <c r="N20" s="159"/>
      <c r="O20" s="159"/>
      <c r="P20" s="4"/>
      <c r="Q20" s="37"/>
      <c r="R20" s="9"/>
      <c r="S20" s="159"/>
      <c r="T20" s="159"/>
      <c r="U20" s="4"/>
      <c r="V20" s="10"/>
      <c r="W20" s="259"/>
      <c r="X20" s="3"/>
      <c r="Y20" s="3"/>
      <c r="Z20" s="4"/>
      <c r="AA20" s="10"/>
      <c r="AB20" s="15">
        <f t="shared" si="2"/>
        <v>0</v>
      </c>
      <c r="AC20" s="17">
        <f t="shared" si="0"/>
        <v>0</v>
      </c>
      <c r="AD20" s="17">
        <f t="shared" si="1"/>
        <v>0</v>
      </c>
      <c r="AE20" s="17">
        <f t="shared" si="3"/>
        <v>0</v>
      </c>
      <c r="AF20" s="17">
        <f t="shared" si="4"/>
        <v>0</v>
      </c>
      <c r="AG20" s="19" t="str">
        <f t="shared" si="5"/>
        <v>-</v>
      </c>
    </row>
    <row r="21" spans="2:33" x14ac:dyDescent="0.25">
      <c r="B21" s="236" t="s">
        <v>15</v>
      </c>
      <c r="C21" s="9" t="s">
        <v>50</v>
      </c>
      <c r="D21" s="159">
        <v>0</v>
      </c>
      <c r="E21" s="159">
        <v>0</v>
      </c>
      <c r="F21" s="4">
        <v>3.28</v>
      </c>
      <c r="G21" s="37"/>
      <c r="H21" s="9" t="s">
        <v>50</v>
      </c>
      <c r="I21" s="159">
        <v>1</v>
      </c>
      <c r="J21" s="159">
        <v>1</v>
      </c>
      <c r="K21" s="4">
        <v>5.96</v>
      </c>
      <c r="L21" s="135" t="s">
        <v>76</v>
      </c>
      <c r="M21" s="23" t="s">
        <v>50</v>
      </c>
      <c r="N21" s="159">
        <v>1</v>
      </c>
      <c r="O21" s="159">
        <v>1</v>
      </c>
      <c r="P21" s="4">
        <v>5.28</v>
      </c>
      <c r="Q21" s="37"/>
      <c r="R21" s="9" t="s">
        <v>50</v>
      </c>
      <c r="S21" s="159">
        <v>0</v>
      </c>
      <c r="T21" s="159">
        <v>1</v>
      </c>
      <c r="U21" s="4">
        <v>5.36</v>
      </c>
      <c r="V21" s="10"/>
      <c r="W21" s="259"/>
      <c r="X21" s="3"/>
      <c r="Y21" s="3"/>
      <c r="Z21" s="4"/>
      <c r="AA21" s="10"/>
      <c r="AB21" s="15">
        <f t="shared" si="2"/>
        <v>4</v>
      </c>
      <c r="AC21" s="17">
        <f t="shared" si="0"/>
        <v>2</v>
      </c>
      <c r="AD21" s="17">
        <f t="shared" si="1"/>
        <v>3</v>
      </c>
      <c r="AE21" s="17">
        <f t="shared" si="3"/>
        <v>5</v>
      </c>
      <c r="AF21" s="17">
        <f t="shared" si="4"/>
        <v>1</v>
      </c>
      <c r="AG21" s="19">
        <f t="shared" si="5"/>
        <v>4.97</v>
      </c>
    </row>
    <row r="22" spans="2:33" x14ac:dyDescent="0.25">
      <c r="B22" s="236" t="s">
        <v>16</v>
      </c>
      <c r="C22" s="9" t="s">
        <v>50</v>
      </c>
      <c r="D22" s="159">
        <v>3</v>
      </c>
      <c r="E22" s="159">
        <v>0</v>
      </c>
      <c r="F22" s="4">
        <v>5.2</v>
      </c>
      <c r="G22" s="37"/>
      <c r="H22" s="9" t="s">
        <v>50</v>
      </c>
      <c r="I22" s="159">
        <v>1</v>
      </c>
      <c r="J22" s="159">
        <v>2</v>
      </c>
      <c r="K22" s="4">
        <v>4.22</v>
      </c>
      <c r="L22" s="10"/>
      <c r="M22" s="23" t="s">
        <v>50</v>
      </c>
      <c r="N22" s="159">
        <v>6</v>
      </c>
      <c r="O22" s="159">
        <v>0</v>
      </c>
      <c r="P22" s="4">
        <v>6.08</v>
      </c>
      <c r="Q22" s="37"/>
      <c r="R22" s="9" t="s">
        <v>50</v>
      </c>
      <c r="S22" s="159">
        <v>2</v>
      </c>
      <c r="T22" s="159">
        <v>1</v>
      </c>
      <c r="U22" s="4">
        <v>4.8</v>
      </c>
      <c r="V22" s="10"/>
      <c r="W22" s="259" t="s">
        <v>50</v>
      </c>
      <c r="X22" s="3">
        <v>3</v>
      </c>
      <c r="Y22" s="3">
        <v>2</v>
      </c>
      <c r="Z22" s="4">
        <v>5.82</v>
      </c>
      <c r="AA22" s="134" t="s">
        <v>76</v>
      </c>
      <c r="AB22" s="15">
        <f t="shared" si="2"/>
        <v>5</v>
      </c>
      <c r="AC22" s="17">
        <f t="shared" si="0"/>
        <v>15</v>
      </c>
      <c r="AD22" s="17">
        <f t="shared" si="1"/>
        <v>5</v>
      </c>
      <c r="AE22" s="17">
        <f t="shared" si="3"/>
        <v>20</v>
      </c>
      <c r="AF22" s="17">
        <f t="shared" si="4"/>
        <v>1</v>
      </c>
      <c r="AG22" s="19">
        <f t="shared" si="5"/>
        <v>5.2240000000000002</v>
      </c>
    </row>
    <row r="23" spans="2:33" x14ac:dyDescent="0.25">
      <c r="B23" s="236" t="s">
        <v>17</v>
      </c>
      <c r="C23" s="9" t="s">
        <v>50</v>
      </c>
      <c r="D23" s="159">
        <v>2</v>
      </c>
      <c r="E23" s="159">
        <v>0</v>
      </c>
      <c r="F23" s="4">
        <v>6.1</v>
      </c>
      <c r="G23" s="37"/>
      <c r="H23" s="9" t="s">
        <v>50</v>
      </c>
      <c r="I23" s="159">
        <v>1</v>
      </c>
      <c r="J23" s="159">
        <v>1</v>
      </c>
      <c r="K23" s="4">
        <v>4.8600000000000003</v>
      </c>
      <c r="L23" s="10"/>
      <c r="M23" s="23" t="s">
        <v>50</v>
      </c>
      <c r="N23" s="159">
        <v>2</v>
      </c>
      <c r="O23" s="159">
        <v>0</v>
      </c>
      <c r="P23" s="4">
        <v>4.58</v>
      </c>
      <c r="Q23" s="37"/>
      <c r="R23" s="9" t="s">
        <v>50</v>
      </c>
      <c r="S23" s="159">
        <v>1</v>
      </c>
      <c r="T23" s="159">
        <v>0</v>
      </c>
      <c r="U23" s="4">
        <v>5.2</v>
      </c>
      <c r="V23" s="135" t="s">
        <v>76</v>
      </c>
      <c r="W23" s="259" t="s">
        <v>50</v>
      </c>
      <c r="X23" s="3">
        <v>2</v>
      </c>
      <c r="Y23" s="3">
        <v>2</v>
      </c>
      <c r="Z23" s="4">
        <v>6.36</v>
      </c>
      <c r="AA23" s="10"/>
      <c r="AB23" s="15">
        <f t="shared" si="2"/>
        <v>5</v>
      </c>
      <c r="AC23" s="17">
        <f t="shared" si="0"/>
        <v>8</v>
      </c>
      <c r="AD23" s="17">
        <f t="shared" si="1"/>
        <v>3</v>
      </c>
      <c r="AE23" s="17">
        <f t="shared" si="3"/>
        <v>11</v>
      </c>
      <c r="AF23" s="17">
        <f t="shared" si="4"/>
        <v>1</v>
      </c>
      <c r="AG23" s="19">
        <f t="shared" si="5"/>
        <v>5.42</v>
      </c>
    </row>
    <row r="24" spans="2:33" x14ac:dyDescent="0.25">
      <c r="B24" s="236" t="s">
        <v>18</v>
      </c>
      <c r="C24" s="9" t="s">
        <v>50</v>
      </c>
      <c r="D24" s="159">
        <v>1</v>
      </c>
      <c r="E24" s="159">
        <v>0</v>
      </c>
      <c r="F24" s="4">
        <v>4.96</v>
      </c>
      <c r="G24" s="37"/>
      <c r="H24" s="9" t="s">
        <v>50</v>
      </c>
      <c r="I24" s="159">
        <v>0</v>
      </c>
      <c r="J24" s="159">
        <v>1</v>
      </c>
      <c r="K24" s="4">
        <v>3.66</v>
      </c>
      <c r="L24" s="10"/>
      <c r="M24" s="23"/>
      <c r="N24" s="159"/>
      <c r="O24" s="159"/>
      <c r="P24" s="4"/>
      <c r="Q24" s="37"/>
      <c r="R24" s="9"/>
      <c r="S24" s="159"/>
      <c r="T24" s="159"/>
      <c r="U24" s="4"/>
      <c r="V24" s="10"/>
      <c r="W24" s="259"/>
      <c r="X24" s="3"/>
      <c r="Y24" s="3"/>
      <c r="Z24" s="4"/>
      <c r="AA24" s="10"/>
      <c r="AB24" s="15">
        <f t="shared" si="2"/>
        <v>2</v>
      </c>
      <c r="AC24" s="17">
        <f t="shared" si="0"/>
        <v>1</v>
      </c>
      <c r="AD24" s="17">
        <f t="shared" si="1"/>
        <v>1</v>
      </c>
      <c r="AE24" s="17">
        <f t="shared" si="3"/>
        <v>2</v>
      </c>
      <c r="AF24" s="17">
        <f t="shared" si="4"/>
        <v>0</v>
      </c>
      <c r="AG24" s="19">
        <f t="shared" si="5"/>
        <v>4.3100000000000005</v>
      </c>
    </row>
    <row r="25" spans="2:33" x14ac:dyDescent="0.25">
      <c r="B25" s="236" t="s">
        <v>19</v>
      </c>
      <c r="C25" s="9" t="s">
        <v>50</v>
      </c>
      <c r="D25" s="159">
        <v>0</v>
      </c>
      <c r="E25" s="159">
        <v>0</v>
      </c>
      <c r="F25" s="4">
        <v>6.2</v>
      </c>
      <c r="G25" s="37"/>
      <c r="H25" s="9" t="s">
        <v>50</v>
      </c>
      <c r="I25" s="159">
        <v>0</v>
      </c>
      <c r="J25" s="159">
        <v>0</v>
      </c>
      <c r="K25" s="4">
        <v>5.92</v>
      </c>
      <c r="L25" s="10"/>
      <c r="M25" s="23" t="s">
        <v>50</v>
      </c>
      <c r="N25" s="159">
        <v>0</v>
      </c>
      <c r="O25" s="159">
        <v>0</v>
      </c>
      <c r="P25" s="4">
        <v>6.46</v>
      </c>
      <c r="Q25" s="257" t="s">
        <v>76</v>
      </c>
      <c r="R25" s="9" t="s">
        <v>50</v>
      </c>
      <c r="S25" s="159">
        <v>0</v>
      </c>
      <c r="T25" s="159">
        <v>0</v>
      </c>
      <c r="U25" s="4">
        <v>6.82</v>
      </c>
      <c r="V25" s="10"/>
      <c r="W25" s="259"/>
      <c r="X25" s="3"/>
      <c r="Y25" s="3"/>
      <c r="Z25" s="4"/>
      <c r="AA25" s="10"/>
      <c r="AB25" s="15">
        <f t="shared" si="2"/>
        <v>4</v>
      </c>
      <c r="AC25" s="17">
        <f t="shared" si="0"/>
        <v>0</v>
      </c>
      <c r="AD25" s="17">
        <f t="shared" si="1"/>
        <v>0</v>
      </c>
      <c r="AE25" s="17">
        <f t="shared" si="3"/>
        <v>0</v>
      </c>
      <c r="AF25" s="17">
        <f t="shared" si="4"/>
        <v>1</v>
      </c>
      <c r="AG25" s="19">
        <f t="shared" si="5"/>
        <v>6.3500000000000005</v>
      </c>
    </row>
    <row r="26" spans="2:33" x14ac:dyDescent="0.25">
      <c r="B26" s="236" t="s">
        <v>79</v>
      </c>
      <c r="C26" s="49"/>
      <c r="D26" s="137"/>
      <c r="E26" s="137"/>
      <c r="F26" s="138"/>
      <c r="G26" s="144"/>
      <c r="H26" s="49"/>
      <c r="I26" s="137"/>
      <c r="J26" s="137"/>
      <c r="K26" s="138"/>
      <c r="L26" s="139"/>
      <c r="M26" s="143"/>
      <c r="N26" s="137"/>
      <c r="O26" s="137"/>
      <c r="P26" s="138"/>
      <c r="Q26" s="144"/>
      <c r="R26" s="49"/>
      <c r="S26" s="137"/>
      <c r="T26" s="137"/>
      <c r="U26" s="138"/>
      <c r="V26" s="139"/>
      <c r="W26" s="243"/>
      <c r="X26" s="149"/>
      <c r="Y26" s="149"/>
      <c r="Z26" s="138"/>
      <c r="AA26" s="139"/>
      <c r="AB26" s="15">
        <f t="shared" si="2"/>
        <v>0</v>
      </c>
      <c r="AC26" s="17">
        <f t="shared" si="0"/>
        <v>0</v>
      </c>
      <c r="AD26" s="17">
        <f t="shared" si="1"/>
        <v>0</v>
      </c>
      <c r="AE26" s="17">
        <f t="shared" si="3"/>
        <v>0</v>
      </c>
      <c r="AF26" s="17">
        <f t="shared" si="4"/>
        <v>0</v>
      </c>
      <c r="AG26" s="19" t="str">
        <f t="shared" si="5"/>
        <v>-</v>
      </c>
    </row>
    <row r="27" spans="2:33" x14ac:dyDescent="0.25">
      <c r="B27" s="236" t="s">
        <v>20</v>
      </c>
      <c r="C27" s="9" t="s">
        <v>50</v>
      </c>
      <c r="D27" s="159">
        <v>0</v>
      </c>
      <c r="E27" s="159">
        <v>1</v>
      </c>
      <c r="F27" s="4">
        <v>5.26</v>
      </c>
      <c r="G27" s="37"/>
      <c r="H27" s="9" t="s">
        <v>50</v>
      </c>
      <c r="I27" s="159">
        <v>3</v>
      </c>
      <c r="J27" s="159">
        <v>2</v>
      </c>
      <c r="K27" s="4">
        <v>5.96</v>
      </c>
      <c r="L27" s="135" t="s">
        <v>76</v>
      </c>
      <c r="M27" s="23" t="s">
        <v>50</v>
      </c>
      <c r="N27" s="159">
        <v>2</v>
      </c>
      <c r="O27" s="159">
        <v>2</v>
      </c>
      <c r="P27" s="4">
        <v>5.58</v>
      </c>
      <c r="Q27" s="37"/>
      <c r="R27" s="9" t="s">
        <v>50</v>
      </c>
      <c r="S27" s="159">
        <v>1</v>
      </c>
      <c r="T27" s="159">
        <v>2</v>
      </c>
      <c r="U27" s="4">
        <v>5.54</v>
      </c>
      <c r="V27" s="135" t="s">
        <v>76</v>
      </c>
      <c r="W27" s="259" t="s">
        <v>50</v>
      </c>
      <c r="X27" s="3">
        <v>1</v>
      </c>
      <c r="Y27" s="3">
        <v>0</v>
      </c>
      <c r="Z27" s="4">
        <v>5.58</v>
      </c>
      <c r="AA27" s="134" t="s">
        <v>76</v>
      </c>
      <c r="AB27" s="15">
        <f t="shared" si="2"/>
        <v>5</v>
      </c>
      <c r="AC27" s="17">
        <f t="shared" si="0"/>
        <v>7</v>
      </c>
      <c r="AD27" s="17">
        <f t="shared" si="1"/>
        <v>7</v>
      </c>
      <c r="AE27" s="17">
        <f t="shared" si="3"/>
        <v>14</v>
      </c>
      <c r="AF27" s="17">
        <f t="shared" si="4"/>
        <v>3</v>
      </c>
      <c r="AG27" s="19">
        <f t="shared" si="5"/>
        <v>5.5839999999999987</v>
      </c>
    </row>
    <row r="28" spans="2:33" x14ac:dyDescent="0.25">
      <c r="B28" s="237" t="s">
        <v>82</v>
      </c>
      <c r="C28" s="9"/>
      <c r="D28" s="159"/>
      <c r="E28" s="159"/>
      <c r="F28" s="4"/>
      <c r="G28" s="37"/>
      <c r="H28" s="9"/>
      <c r="I28" s="159"/>
      <c r="J28" s="159"/>
      <c r="K28" s="4"/>
      <c r="L28" s="10"/>
      <c r="M28" s="23"/>
      <c r="N28" s="159"/>
      <c r="O28" s="159"/>
      <c r="P28" s="4"/>
      <c r="Q28" s="37"/>
      <c r="R28" s="9"/>
      <c r="S28" s="159"/>
      <c r="T28" s="159"/>
      <c r="U28" s="4"/>
      <c r="V28" s="10"/>
      <c r="W28" s="259"/>
      <c r="X28" s="3"/>
      <c r="Y28" s="3"/>
      <c r="Z28" s="4"/>
      <c r="AA28" s="10"/>
      <c r="AB28" s="15">
        <f t="shared" si="2"/>
        <v>0</v>
      </c>
      <c r="AC28" s="17">
        <f t="shared" si="0"/>
        <v>0</v>
      </c>
      <c r="AD28" s="17">
        <f t="shared" si="1"/>
        <v>0</v>
      </c>
      <c r="AE28" s="17">
        <f t="shared" si="3"/>
        <v>0</v>
      </c>
      <c r="AF28" s="17">
        <f t="shared" si="4"/>
        <v>0</v>
      </c>
      <c r="AG28" s="19" t="str">
        <f t="shared" si="5"/>
        <v>-</v>
      </c>
    </row>
    <row r="29" spans="2:33" x14ac:dyDescent="0.25">
      <c r="B29" s="236" t="s">
        <v>21</v>
      </c>
      <c r="C29" s="9" t="s">
        <v>50</v>
      </c>
      <c r="D29" s="159">
        <v>0</v>
      </c>
      <c r="E29" s="159">
        <v>0</v>
      </c>
      <c r="F29" s="4">
        <v>5.04</v>
      </c>
      <c r="G29" s="153" t="s">
        <v>76</v>
      </c>
      <c r="H29" s="9"/>
      <c r="I29" s="159"/>
      <c r="J29" s="159"/>
      <c r="K29" s="4"/>
      <c r="L29" s="10"/>
      <c r="M29" s="23"/>
      <c r="N29" s="159"/>
      <c r="O29" s="159"/>
      <c r="P29" s="4"/>
      <c r="Q29" s="37"/>
      <c r="R29" s="9"/>
      <c r="S29" s="159"/>
      <c r="T29" s="159"/>
      <c r="U29" s="4"/>
      <c r="V29" s="10"/>
      <c r="W29" s="259"/>
      <c r="X29" s="3"/>
      <c r="Y29" s="3"/>
      <c r="Z29" s="4"/>
      <c r="AA29" s="10"/>
      <c r="AB29" s="15">
        <f t="shared" si="2"/>
        <v>1</v>
      </c>
      <c r="AC29" s="17">
        <f t="shared" si="0"/>
        <v>0</v>
      </c>
      <c r="AD29" s="17">
        <f t="shared" si="1"/>
        <v>0</v>
      </c>
      <c r="AE29" s="17">
        <f t="shared" si="3"/>
        <v>0</v>
      </c>
      <c r="AF29" s="17">
        <f t="shared" si="4"/>
        <v>1</v>
      </c>
      <c r="AG29" s="19">
        <f t="shared" si="5"/>
        <v>5.04</v>
      </c>
    </row>
    <row r="30" spans="2:33" x14ac:dyDescent="0.25">
      <c r="B30" s="236" t="s">
        <v>22</v>
      </c>
      <c r="C30" s="9"/>
      <c r="D30" s="159"/>
      <c r="E30" s="159"/>
      <c r="F30" s="4"/>
      <c r="G30" s="37"/>
      <c r="H30" s="9"/>
      <c r="I30" s="159"/>
      <c r="J30" s="159"/>
      <c r="K30" s="4"/>
      <c r="L30" s="10"/>
      <c r="M30" s="23"/>
      <c r="N30" s="159"/>
      <c r="O30" s="159"/>
      <c r="P30" s="4"/>
      <c r="Q30" s="37"/>
      <c r="R30" s="9"/>
      <c r="S30" s="159"/>
      <c r="T30" s="159"/>
      <c r="U30" s="4"/>
      <c r="V30" s="10"/>
      <c r="W30" s="259" t="s">
        <v>50</v>
      </c>
      <c r="X30" s="3">
        <v>3</v>
      </c>
      <c r="Y30" s="3">
        <v>0</v>
      </c>
      <c r="Z30" s="4">
        <v>6.06</v>
      </c>
      <c r="AA30" s="10"/>
      <c r="AB30" s="15">
        <f t="shared" si="2"/>
        <v>1</v>
      </c>
      <c r="AC30" s="17">
        <f t="shared" si="0"/>
        <v>3</v>
      </c>
      <c r="AD30" s="17">
        <f t="shared" si="1"/>
        <v>0</v>
      </c>
      <c r="AE30" s="17">
        <f t="shared" si="3"/>
        <v>3</v>
      </c>
      <c r="AF30" s="17">
        <f t="shared" si="4"/>
        <v>0</v>
      </c>
      <c r="AG30" s="19">
        <f t="shared" si="5"/>
        <v>6.06</v>
      </c>
    </row>
    <row r="31" spans="2:33" x14ac:dyDescent="0.25">
      <c r="B31" s="236" t="s">
        <v>23</v>
      </c>
      <c r="C31" s="9" t="s">
        <v>50</v>
      </c>
      <c r="D31" s="159">
        <v>2</v>
      </c>
      <c r="E31" s="159">
        <v>1</v>
      </c>
      <c r="F31" s="4">
        <v>5.84</v>
      </c>
      <c r="G31" s="37"/>
      <c r="H31" s="9" t="s">
        <v>50</v>
      </c>
      <c r="I31" s="159">
        <v>2</v>
      </c>
      <c r="J31" s="159">
        <v>1</v>
      </c>
      <c r="K31" s="4">
        <v>5.04</v>
      </c>
      <c r="L31" s="10"/>
      <c r="M31" s="23" t="s">
        <v>50</v>
      </c>
      <c r="N31" s="159">
        <v>2</v>
      </c>
      <c r="O31" s="159">
        <v>1</v>
      </c>
      <c r="P31" s="4">
        <v>6.58</v>
      </c>
      <c r="Q31" s="257" t="s">
        <v>76</v>
      </c>
      <c r="R31" s="9" t="s">
        <v>50</v>
      </c>
      <c r="S31" s="159">
        <v>2</v>
      </c>
      <c r="T31" s="159">
        <v>0</v>
      </c>
      <c r="U31" s="4">
        <v>5.3</v>
      </c>
      <c r="V31" s="10"/>
      <c r="W31" s="259" t="s">
        <v>50</v>
      </c>
      <c r="X31" s="3">
        <v>1</v>
      </c>
      <c r="Y31" s="3">
        <v>3</v>
      </c>
      <c r="Z31" s="4">
        <v>6.58</v>
      </c>
      <c r="AA31" s="134" t="s">
        <v>76</v>
      </c>
      <c r="AB31" s="15">
        <f t="shared" si="2"/>
        <v>5</v>
      </c>
      <c r="AC31" s="17">
        <f t="shared" si="0"/>
        <v>9</v>
      </c>
      <c r="AD31" s="17">
        <f t="shared" si="1"/>
        <v>6</v>
      </c>
      <c r="AE31" s="17">
        <f t="shared" si="3"/>
        <v>15</v>
      </c>
      <c r="AF31" s="17">
        <f t="shared" si="4"/>
        <v>2</v>
      </c>
      <c r="AG31" s="19">
        <f t="shared" si="5"/>
        <v>5.8680000000000003</v>
      </c>
    </row>
    <row r="32" spans="2:33" x14ac:dyDescent="0.25">
      <c r="B32" s="237" t="s">
        <v>84</v>
      </c>
      <c r="C32" s="9"/>
      <c r="D32" s="159"/>
      <c r="E32" s="159"/>
      <c r="F32" s="4"/>
      <c r="G32" s="37"/>
      <c r="H32" s="9"/>
      <c r="I32" s="159"/>
      <c r="J32" s="159"/>
      <c r="K32" s="4"/>
      <c r="L32" s="10"/>
      <c r="M32" s="23"/>
      <c r="N32" s="159"/>
      <c r="O32" s="159"/>
      <c r="P32" s="4"/>
      <c r="Q32" s="37"/>
      <c r="R32" s="9"/>
      <c r="S32" s="159"/>
      <c r="T32" s="159"/>
      <c r="U32" s="4"/>
      <c r="V32" s="10"/>
      <c r="W32" s="259"/>
      <c r="X32" s="3"/>
      <c r="Y32" s="3"/>
      <c r="Z32" s="4"/>
      <c r="AA32" s="10"/>
      <c r="AB32" s="15">
        <f t="shared" si="2"/>
        <v>0</v>
      </c>
      <c r="AC32" s="17">
        <f t="shared" si="0"/>
        <v>0</v>
      </c>
      <c r="AD32" s="17">
        <f t="shared" si="1"/>
        <v>0</v>
      </c>
      <c r="AE32" s="17">
        <f t="shared" si="3"/>
        <v>0</v>
      </c>
      <c r="AF32" s="17">
        <f t="shared" si="4"/>
        <v>0</v>
      </c>
      <c r="AG32" s="19" t="str">
        <f t="shared" si="5"/>
        <v>-</v>
      </c>
    </row>
    <row r="33" spans="2:33" x14ac:dyDescent="0.25">
      <c r="B33" s="236" t="s">
        <v>24</v>
      </c>
      <c r="C33" s="9" t="s">
        <v>50</v>
      </c>
      <c r="D33" s="159">
        <v>1</v>
      </c>
      <c r="E33" s="159">
        <v>0</v>
      </c>
      <c r="F33" s="4">
        <v>6.1</v>
      </c>
      <c r="G33" s="153" t="s">
        <v>76</v>
      </c>
      <c r="H33" s="9" t="s">
        <v>50</v>
      </c>
      <c r="I33" s="159">
        <v>3</v>
      </c>
      <c r="J33" s="159">
        <v>0</v>
      </c>
      <c r="K33" s="4">
        <v>6.08</v>
      </c>
      <c r="L33" s="10"/>
      <c r="M33" s="23" t="s">
        <v>50</v>
      </c>
      <c r="N33" s="159">
        <v>1</v>
      </c>
      <c r="O33" s="159">
        <v>2</v>
      </c>
      <c r="P33" s="4">
        <v>5.8</v>
      </c>
      <c r="Q33" s="37"/>
      <c r="R33" s="9"/>
      <c r="S33" s="159"/>
      <c r="T33" s="159"/>
      <c r="U33" s="4"/>
      <c r="V33" s="10"/>
      <c r="W33" s="259"/>
      <c r="X33" s="3"/>
      <c r="Y33" s="3"/>
      <c r="Z33" s="4"/>
      <c r="AA33" s="10"/>
      <c r="AB33" s="15">
        <f t="shared" si="2"/>
        <v>3</v>
      </c>
      <c r="AC33" s="17">
        <f t="shared" si="0"/>
        <v>5</v>
      </c>
      <c r="AD33" s="17">
        <f t="shared" si="1"/>
        <v>2</v>
      </c>
      <c r="AE33" s="17">
        <f t="shared" si="3"/>
        <v>7</v>
      </c>
      <c r="AF33" s="17">
        <f t="shared" si="4"/>
        <v>1</v>
      </c>
      <c r="AG33" s="19">
        <f t="shared" si="5"/>
        <v>5.9933333333333332</v>
      </c>
    </row>
    <row r="34" spans="2:33" x14ac:dyDescent="0.25">
      <c r="B34" s="236" t="s">
        <v>25</v>
      </c>
      <c r="C34" s="9" t="s">
        <v>50</v>
      </c>
      <c r="D34" s="159">
        <v>1</v>
      </c>
      <c r="E34" s="159">
        <v>0</v>
      </c>
      <c r="F34" s="4">
        <v>5.46</v>
      </c>
      <c r="G34" s="37"/>
      <c r="H34" s="9" t="s">
        <v>50</v>
      </c>
      <c r="I34" s="159">
        <v>0</v>
      </c>
      <c r="J34" s="159">
        <v>0</v>
      </c>
      <c r="K34" s="4">
        <v>5.3</v>
      </c>
      <c r="L34" s="10"/>
      <c r="M34" s="23"/>
      <c r="N34" s="159"/>
      <c r="O34" s="159"/>
      <c r="P34" s="4"/>
      <c r="Q34" s="37"/>
      <c r="R34" s="9"/>
      <c r="S34" s="159"/>
      <c r="T34" s="159"/>
      <c r="U34" s="4"/>
      <c r="V34" s="10"/>
      <c r="W34" s="259"/>
      <c r="X34" s="3"/>
      <c r="Y34" s="3"/>
      <c r="Z34" s="4"/>
      <c r="AA34" s="10"/>
      <c r="AB34" s="15">
        <f t="shared" si="2"/>
        <v>2</v>
      </c>
      <c r="AC34" s="17">
        <f t="shared" si="0"/>
        <v>1</v>
      </c>
      <c r="AD34" s="17">
        <f t="shared" si="1"/>
        <v>0</v>
      </c>
      <c r="AE34" s="17">
        <f t="shared" si="3"/>
        <v>1</v>
      </c>
      <c r="AF34" s="17">
        <f t="shared" si="4"/>
        <v>0</v>
      </c>
      <c r="AG34" s="19">
        <f t="shared" si="5"/>
        <v>5.38</v>
      </c>
    </row>
    <row r="35" spans="2:33" x14ac:dyDescent="0.25">
      <c r="B35" s="236" t="s">
        <v>26</v>
      </c>
      <c r="C35" s="9"/>
      <c r="D35" s="159"/>
      <c r="E35" s="159"/>
      <c r="F35" s="4"/>
      <c r="G35" s="37"/>
      <c r="H35" s="9" t="s">
        <v>50</v>
      </c>
      <c r="I35" s="159">
        <v>1</v>
      </c>
      <c r="J35" s="159">
        <v>3</v>
      </c>
      <c r="K35" s="4">
        <v>5.44</v>
      </c>
      <c r="L35" s="10"/>
      <c r="M35" s="23" t="s">
        <v>50</v>
      </c>
      <c r="N35" s="159">
        <v>2</v>
      </c>
      <c r="O35" s="159">
        <v>2</v>
      </c>
      <c r="P35" s="4">
        <v>5.28</v>
      </c>
      <c r="Q35" s="37"/>
      <c r="R35" s="9" t="s">
        <v>50</v>
      </c>
      <c r="S35" s="159">
        <v>2</v>
      </c>
      <c r="T35" s="159">
        <v>0</v>
      </c>
      <c r="U35" s="4">
        <v>4.8</v>
      </c>
      <c r="V35" s="10"/>
      <c r="W35" s="259" t="s">
        <v>50</v>
      </c>
      <c r="X35" s="3">
        <v>3</v>
      </c>
      <c r="Y35" s="3">
        <v>0</v>
      </c>
      <c r="Z35" s="4">
        <v>5.48</v>
      </c>
      <c r="AA35" s="10"/>
      <c r="AB35" s="15">
        <f t="shared" si="2"/>
        <v>4</v>
      </c>
      <c r="AC35" s="17">
        <f t="shared" si="0"/>
        <v>8</v>
      </c>
      <c r="AD35" s="17">
        <f t="shared" si="1"/>
        <v>5</v>
      </c>
      <c r="AE35" s="17">
        <f t="shared" si="3"/>
        <v>13</v>
      </c>
      <c r="AF35" s="17">
        <f t="shared" si="4"/>
        <v>0</v>
      </c>
      <c r="AG35" s="19">
        <f t="shared" si="5"/>
        <v>5.25</v>
      </c>
    </row>
    <row r="36" spans="2:33" x14ac:dyDescent="0.25">
      <c r="B36" s="236" t="s">
        <v>27</v>
      </c>
      <c r="C36" s="9" t="s">
        <v>50</v>
      </c>
      <c r="D36" s="159">
        <v>0</v>
      </c>
      <c r="E36" s="159">
        <v>3</v>
      </c>
      <c r="F36" s="4">
        <v>5.76</v>
      </c>
      <c r="G36" s="144"/>
      <c r="H36" s="9" t="s">
        <v>50</v>
      </c>
      <c r="I36" s="159">
        <v>2</v>
      </c>
      <c r="J36" s="159">
        <v>3</v>
      </c>
      <c r="K36" s="4">
        <v>3.48</v>
      </c>
      <c r="L36" s="10"/>
      <c r="M36" s="23" t="s">
        <v>50</v>
      </c>
      <c r="N36" s="159">
        <v>1</v>
      </c>
      <c r="O36" s="159">
        <v>2</v>
      </c>
      <c r="P36" s="4">
        <v>4.08</v>
      </c>
      <c r="Q36" s="37"/>
      <c r="R36" s="9" t="s">
        <v>50</v>
      </c>
      <c r="S36" s="159">
        <v>2</v>
      </c>
      <c r="T36" s="159">
        <v>0</v>
      </c>
      <c r="U36" s="4">
        <v>4.46</v>
      </c>
      <c r="V36" s="10"/>
      <c r="W36" s="259" t="s">
        <v>50</v>
      </c>
      <c r="X36" s="3">
        <v>0</v>
      </c>
      <c r="Y36" s="3">
        <v>2</v>
      </c>
      <c r="Z36" s="4">
        <v>6.3</v>
      </c>
      <c r="AA36" s="10"/>
      <c r="AB36" s="15">
        <f t="shared" si="2"/>
        <v>5</v>
      </c>
      <c r="AC36" s="17">
        <f t="shared" si="0"/>
        <v>5</v>
      </c>
      <c r="AD36" s="17">
        <f t="shared" si="1"/>
        <v>10</v>
      </c>
      <c r="AE36" s="17">
        <f t="shared" si="3"/>
        <v>15</v>
      </c>
      <c r="AF36" s="17">
        <f t="shared" si="4"/>
        <v>0</v>
      </c>
      <c r="AG36" s="19">
        <f t="shared" si="5"/>
        <v>4.8160000000000007</v>
      </c>
    </row>
    <row r="37" spans="2:33" x14ac:dyDescent="0.25">
      <c r="B37" s="236" t="s">
        <v>28</v>
      </c>
      <c r="C37" s="9"/>
      <c r="D37" s="159"/>
      <c r="E37" s="137"/>
      <c r="F37" s="138"/>
      <c r="G37" s="144"/>
      <c r="H37" s="49"/>
      <c r="I37" s="137"/>
      <c r="J37" s="137"/>
      <c r="K37" s="138"/>
      <c r="L37" s="139"/>
      <c r="M37" s="143"/>
      <c r="N37" s="137"/>
      <c r="O37" s="137"/>
      <c r="P37" s="138"/>
      <c r="Q37" s="144"/>
      <c r="R37" s="49"/>
      <c r="S37" s="159"/>
      <c r="T37" s="159"/>
      <c r="U37" s="4"/>
      <c r="V37" s="10"/>
      <c r="W37" s="259"/>
      <c r="X37" s="3"/>
      <c r="Y37" s="3"/>
      <c r="Z37" s="4"/>
      <c r="AA37" s="10"/>
      <c r="AB37" s="15">
        <f t="shared" si="2"/>
        <v>0</v>
      </c>
      <c r="AC37" s="17">
        <f t="shared" si="0"/>
        <v>0</v>
      </c>
      <c r="AD37" s="17">
        <f t="shared" si="1"/>
        <v>0</v>
      </c>
      <c r="AE37" s="17">
        <f t="shared" si="3"/>
        <v>0</v>
      </c>
      <c r="AF37" s="17">
        <f t="shared" si="4"/>
        <v>0</v>
      </c>
      <c r="AG37" s="19" t="str">
        <f t="shared" si="5"/>
        <v>-</v>
      </c>
    </row>
    <row r="38" spans="2:33" x14ac:dyDescent="0.25">
      <c r="B38" s="236" t="s">
        <v>77</v>
      </c>
      <c r="C38" s="9"/>
      <c r="D38" s="159"/>
      <c r="E38" s="159"/>
      <c r="F38" s="4"/>
      <c r="G38" s="37"/>
      <c r="H38" s="9"/>
      <c r="I38" s="159"/>
      <c r="J38" s="159"/>
      <c r="K38" s="4"/>
      <c r="L38" s="10"/>
      <c r="M38" s="23"/>
      <c r="N38" s="159"/>
      <c r="O38" s="159"/>
      <c r="P38" s="4"/>
      <c r="Q38" s="37"/>
      <c r="R38" s="9"/>
      <c r="S38" s="159"/>
      <c r="T38" s="159"/>
      <c r="U38" s="4"/>
      <c r="V38" s="10"/>
      <c r="W38" s="259"/>
      <c r="X38" s="3"/>
      <c r="Y38" s="3"/>
      <c r="Z38" s="4"/>
      <c r="AA38" s="10"/>
      <c r="AB38" s="15">
        <f t="shared" si="2"/>
        <v>0</v>
      </c>
      <c r="AC38" s="17">
        <f t="shared" si="0"/>
        <v>0</v>
      </c>
      <c r="AD38" s="17">
        <f t="shared" si="1"/>
        <v>0</v>
      </c>
      <c r="AE38" s="17">
        <f t="shared" si="3"/>
        <v>0</v>
      </c>
      <c r="AF38" s="17">
        <f t="shared" si="4"/>
        <v>0</v>
      </c>
      <c r="AG38" s="19" t="str">
        <f t="shared" si="5"/>
        <v>-</v>
      </c>
    </row>
    <row r="39" spans="2:33" x14ac:dyDescent="0.25">
      <c r="B39" s="236" t="s">
        <v>29</v>
      </c>
      <c r="C39" s="9" t="s">
        <v>50</v>
      </c>
      <c r="D39" s="159">
        <v>0</v>
      </c>
      <c r="E39" s="159">
        <v>0</v>
      </c>
      <c r="F39" s="4">
        <v>5.6</v>
      </c>
      <c r="G39" s="37"/>
      <c r="H39" s="9"/>
      <c r="I39" s="159"/>
      <c r="J39" s="159"/>
      <c r="K39" s="4"/>
      <c r="L39" s="10"/>
      <c r="M39" s="23"/>
      <c r="N39" s="159"/>
      <c r="O39" s="159"/>
      <c r="P39" s="4"/>
      <c r="Q39" s="37"/>
      <c r="R39" s="9"/>
      <c r="S39" s="159"/>
      <c r="T39" s="159"/>
      <c r="U39" s="4"/>
      <c r="V39" s="10"/>
      <c r="W39" s="259" t="s">
        <v>50</v>
      </c>
      <c r="X39" s="3">
        <v>0</v>
      </c>
      <c r="Y39" s="3">
        <v>0</v>
      </c>
      <c r="Z39" s="4">
        <v>5.36</v>
      </c>
      <c r="AA39" s="10"/>
      <c r="AB39" s="15">
        <f t="shared" si="2"/>
        <v>2</v>
      </c>
      <c r="AC39" s="17">
        <f t="shared" si="0"/>
        <v>0</v>
      </c>
      <c r="AD39" s="17">
        <f t="shared" si="1"/>
        <v>0</v>
      </c>
      <c r="AE39" s="17">
        <f t="shared" si="3"/>
        <v>0</v>
      </c>
      <c r="AF39" s="17">
        <f t="shared" si="4"/>
        <v>0</v>
      </c>
      <c r="AG39" s="19">
        <f t="shared" si="5"/>
        <v>5.48</v>
      </c>
    </row>
    <row r="40" spans="2:33" x14ac:dyDescent="0.25">
      <c r="B40" s="236" t="s">
        <v>30</v>
      </c>
      <c r="C40" s="9" t="s">
        <v>50</v>
      </c>
      <c r="D40" s="159">
        <v>4</v>
      </c>
      <c r="E40" s="159">
        <v>0</v>
      </c>
      <c r="F40" s="4">
        <v>6.5</v>
      </c>
      <c r="G40" s="37"/>
      <c r="H40" s="9" t="s">
        <v>50</v>
      </c>
      <c r="I40" s="159">
        <v>1</v>
      </c>
      <c r="J40" s="159">
        <v>1</v>
      </c>
      <c r="K40" s="4">
        <v>4.7</v>
      </c>
      <c r="L40" s="10"/>
      <c r="M40" s="23" t="s">
        <v>50</v>
      </c>
      <c r="N40" s="159">
        <v>2</v>
      </c>
      <c r="O40" s="159">
        <v>1</v>
      </c>
      <c r="P40" s="4">
        <v>5.78</v>
      </c>
      <c r="Q40" s="37"/>
      <c r="R40" s="9" t="s">
        <v>50</v>
      </c>
      <c r="S40" s="159">
        <v>2</v>
      </c>
      <c r="T40" s="159">
        <v>2</v>
      </c>
      <c r="U40" s="4">
        <v>5.6</v>
      </c>
      <c r="V40" s="135" t="s">
        <v>76</v>
      </c>
      <c r="W40" s="259" t="s">
        <v>50</v>
      </c>
      <c r="X40" s="3">
        <v>0</v>
      </c>
      <c r="Y40" s="3">
        <v>1</v>
      </c>
      <c r="Z40" s="4">
        <v>5.62</v>
      </c>
      <c r="AA40" s="10"/>
      <c r="AB40" s="15">
        <f t="shared" si="2"/>
        <v>5</v>
      </c>
      <c r="AC40" s="17">
        <f t="shared" si="0"/>
        <v>9</v>
      </c>
      <c r="AD40" s="17">
        <f t="shared" si="1"/>
        <v>5</v>
      </c>
      <c r="AE40" s="17">
        <f t="shared" si="3"/>
        <v>14</v>
      </c>
      <c r="AF40" s="17">
        <f t="shared" si="4"/>
        <v>1</v>
      </c>
      <c r="AG40" s="19">
        <f t="shared" si="5"/>
        <v>5.64</v>
      </c>
    </row>
    <row r="41" spans="2:33" x14ac:dyDescent="0.25">
      <c r="B41" s="236" t="s">
        <v>31</v>
      </c>
      <c r="C41" s="9" t="s">
        <v>50</v>
      </c>
      <c r="D41" s="159">
        <v>0</v>
      </c>
      <c r="E41" s="159">
        <v>2</v>
      </c>
      <c r="F41" s="4">
        <v>6.5</v>
      </c>
      <c r="G41" s="37"/>
      <c r="H41" s="9" t="s">
        <v>50</v>
      </c>
      <c r="I41" s="159">
        <v>0</v>
      </c>
      <c r="J41" s="159">
        <v>0</v>
      </c>
      <c r="K41" s="4">
        <v>5.04</v>
      </c>
      <c r="L41" s="10"/>
      <c r="M41" s="23" t="s">
        <v>50</v>
      </c>
      <c r="N41" s="159">
        <v>1</v>
      </c>
      <c r="O41" s="159">
        <v>0</v>
      </c>
      <c r="P41" s="4">
        <v>6.62</v>
      </c>
      <c r="Q41" s="37"/>
      <c r="R41" s="9" t="s">
        <v>50</v>
      </c>
      <c r="S41" s="159">
        <v>0</v>
      </c>
      <c r="T41" s="159">
        <v>0</v>
      </c>
      <c r="U41" s="4">
        <v>4.28</v>
      </c>
      <c r="V41" s="135"/>
      <c r="W41" s="259"/>
      <c r="X41" s="3"/>
      <c r="Y41" s="3"/>
      <c r="Z41" s="4"/>
      <c r="AA41" s="10"/>
      <c r="AB41" s="15">
        <f t="shared" si="2"/>
        <v>4</v>
      </c>
      <c r="AC41" s="17">
        <f t="shared" si="0"/>
        <v>1</v>
      </c>
      <c r="AD41" s="17">
        <f t="shared" si="1"/>
        <v>2</v>
      </c>
      <c r="AE41" s="17">
        <f t="shared" si="3"/>
        <v>3</v>
      </c>
      <c r="AF41" s="17">
        <f t="shared" si="4"/>
        <v>0</v>
      </c>
      <c r="AG41" s="19">
        <f t="shared" si="5"/>
        <v>5.61</v>
      </c>
    </row>
    <row r="42" spans="2:33" x14ac:dyDescent="0.25">
      <c r="B42" s="236" t="s">
        <v>32</v>
      </c>
      <c r="C42" s="9" t="s">
        <v>50</v>
      </c>
      <c r="D42" s="159">
        <v>0</v>
      </c>
      <c r="E42" s="159">
        <v>0</v>
      </c>
      <c r="F42" s="4">
        <v>6.34</v>
      </c>
      <c r="G42" s="153" t="s">
        <v>76</v>
      </c>
      <c r="H42" s="9" t="s">
        <v>50</v>
      </c>
      <c r="I42" s="159">
        <v>2</v>
      </c>
      <c r="J42" s="159">
        <v>3</v>
      </c>
      <c r="K42" s="4">
        <v>5.66</v>
      </c>
      <c r="L42" s="10"/>
      <c r="M42" s="23" t="s">
        <v>50</v>
      </c>
      <c r="N42" s="159">
        <v>1</v>
      </c>
      <c r="O42" s="159">
        <v>1</v>
      </c>
      <c r="P42" s="4">
        <v>5.5</v>
      </c>
      <c r="Q42" s="257" t="s">
        <v>76</v>
      </c>
      <c r="R42" s="9"/>
      <c r="S42" s="159"/>
      <c r="T42" s="159"/>
      <c r="U42" s="4"/>
      <c r="V42" s="10"/>
      <c r="W42" s="259" t="s">
        <v>50</v>
      </c>
      <c r="X42" s="3">
        <v>2</v>
      </c>
      <c r="Y42" s="3">
        <v>3</v>
      </c>
      <c r="Z42" s="4">
        <v>5.94</v>
      </c>
      <c r="AA42" s="10"/>
      <c r="AB42" s="15">
        <f t="shared" si="2"/>
        <v>4</v>
      </c>
      <c r="AC42" s="17">
        <f t="shared" si="0"/>
        <v>5</v>
      </c>
      <c r="AD42" s="17">
        <f t="shared" si="1"/>
        <v>7</v>
      </c>
      <c r="AE42" s="17">
        <f t="shared" si="3"/>
        <v>12</v>
      </c>
      <c r="AF42" s="17">
        <f t="shared" si="4"/>
        <v>2</v>
      </c>
      <c r="AG42" s="19">
        <f t="shared" si="5"/>
        <v>5.86</v>
      </c>
    </row>
    <row r="43" spans="2:33" x14ac:dyDescent="0.25">
      <c r="B43" s="236" t="s">
        <v>33</v>
      </c>
      <c r="C43" s="9" t="s">
        <v>50</v>
      </c>
      <c r="D43" s="159">
        <v>0</v>
      </c>
      <c r="E43" s="159">
        <v>0</v>
      </c>
      <c r="F43" s="4">
        <v>4.96</v>
      </c>
      <c r="G43" s="37"/>
      <c r="H43" s="9"/>
      <c r="I43" s="159"/>
      <c r="J43" s="159"/>
      <c r="K43" s="4"/>
      <c r="L43" s="10"/>
      <c r="M43" s="23"/>
      <c r="N43" s="159"/>
      <c r="O43" s="159"/>
      <c r="P43" s="4"/>
      <c r="Q43" s="37"/>
      <c r="R43" s="9"/>
      <c r="S43" s="159"/>
      <c r="T43" s="159"/>
      <c r="U43" s="4"/>
      <c r="V43" s="10"/>
      <c r="W43" s="259"/>
      <c r="X43" s="3"/>
      <c r="Y43" s="3"/>
      <c r="Z43" s="4"/>
      <c r="AA43" s="10"/>
      <c r="AB43" s="15">
        <f t="shared" si="2"/>
        <v>1</v>
      </c>
      <c r="AC43" s="17">
        <f t="shared" si="0"/>
        <v>0</v>
      </c>
      <c r="AD43" s="17">
        <f t="shared" si="1"/>
        <v>0</v>
      </c>
      <c r="AE43" s="17">
        <f t="shared" si="3"/>
        <v>0</v>
      </c>
      <c r="AF43" s="17">
        <f t="shared" si="4"/>
        <v>0</v>
      </c>
      <c r="AG43" s="19">
        <f t="shared" si="5"/>
        <v>4.96</v>
      </c>
    </row>
    <row r="44" spans="2:33" x14ac:dyDescent="0.25">
      <c r="B44" s="236" t="s">
        <v>34</v>
      </c>
      <c r="C44" s="9" t="s">
        <v>50</v>
      </c>
      <c r="D44" s="159">
        <v>0</v>
      </c>
      <c r="E44" s="159">
        <v>0</v>
      </c>
      <c r="F44" s="4">
        <v>6.76</v>
      </c>
      <c r="G44" s="37"/>
      <c r="H44" s="9"/>
      <c r="I44" s="159"/>
      <c r="J44" s="159"/>
      <c r="K44" s="4"/>
      <c r="L44" s="10"/>
      <c r="M44" s="23"/>
      <c r="N44" s="159"/>
      <c r="O44" s="159"/>
      <c r="P44" s="4"/>
      <c r="Q44" s="37"/>
      <c r="R44" s="9"/>
      <c r="S44" s="159"/>
      <c r="T44" s="159"/>
      <c r="U44" s="4"/>
      <c r="V44" s="10"/>
      <c r="W44" s="259" t="s">
        <v>50</v>
      </c>
      <c r="X44" s="3">
        <v>0</v>
      </c>
      <c r="Y44" s="3">
        <v>0</v>
      </c>
      <c r="Z44" s="4">
        <v>5.62</v>
      </c>
      <c r="AA44" s="10"/>
      <c r="AB44" s="15">
        <f t="shared" si="2"/>
        <v>2</v>
      </c>
      <c r="AC44" s="17">
        <f t="shared" si="0"/>
        <v>0</v>
      </c>
      <c r="AD44" s="17">
        <f t="shared" si="1"/>
        <v>0</v>
      </c>
      <c r="AE44" s="17">
        <f t="shared" si="3"/>
        <v>0</v>
      </c>
      <c r="AF44" s="17">
        <f t="shared" si="4"/>
        <v>0</v>
      </c>
      <c r="AG44" s="19">
        <f t="shared" si="5"/>
        <v>6.1899999999999995</v>
      </c>
    </row>
    <row r="45" spans="2:33" x14ac:dyDescent="0.25">
      <c r="B45" s="236" t="s">
        <v>35</v>
      </c>
      <c r="C45" s="9" t="s">
        <v>50</v>
      </c>
      <c r="D45" s="159">
        <v>0</v>
      </c>
      <c r="E45" s="159">
        <v>0</v>
      </c>
      <c r="F45" s="4">
        <v>5.16</v>
      </c>
      <c r="G45" s="37"/>
      <c r="H45" s="9" t="s">
        <v>50</v>
      </c>
      <c r="I45" s="159">
        <v>0</v>
      </c>
      <c r="J45" s="159">
        <v>1</v>
      </c>
      <c r="K45" s="4">
        <v>6</v>
      </c>
      <c r="L45" s="135" t="s">
        <v>76</v>
      </c>
      <c r="M45" s="23" t="s">
        <v>50</v>
      </c>
      <c r="N45" s="159">
        <v>1</v>
      </c>
      <c r="O45" s="159">
        <v>1</v>
      </c>
      <c r="P45" s="4">
        <v>5.5</v>
      </c>
      <c r="Q45" s="37"/>
      <c r="R45" s="9" t="s">
        <v>50</v>
      </c>
      <c r="S45" s="159">
        <v>0</v>
      </c>
      <c r="T45" s="159">
        <v>1</v>
      </c>
      <c r="U45" s="4">
        <v>7.1</v>
      </c>
      <c r="V45" s="135" t="s">
        <v>76</v>
      </c>
      <c r="W45" s="259" t="s">
        <v>50</v>
      </c>
      <c r="X45" s="3">
        <v>0</v>
      </c>
      <c r="Y45" s="3">
        <v>0</v>
      </c>
      <c r="Z45" s="4">
        <v>4.82</v>
      </c>
      <c r="AA45" s="10"/>
      <c r="AB45" s="15">
        <f t="shared" si="2"/>
        <v>5</v>
      </c>
      <c r="AC45" s="17">
        <f t="shared" si="0"/>
        <v>1</v>
      </c>
      <c r="AD45" s="17">
        <f t="shared" si="1"/>
        <v>3</v>
      </c>
      <c r="AE45" s="17">
        <f t="shared" si="3"/>
        <v>4</v>
      </c>
      <c r="AF45" s="17">
        <f t="shared" si="4"/>
        <v>2</v>
      </c>
      <c r="AG45" s="19">
        <f t="shared" si="5"/>
        <v>5.7159999999999993</v>
      </c>
    </row>
    <row r="46" spans="2:33" x14ac:dyDescent="0.25">
      <c r="B46" s="236" t="s">
        <v>36</v>
      </c>
      <c r="C46" s="9" t="s">
        <v>50</v>
      </c>
      <c r="D46" s="159">
        <v>0</v>
      </c>
      <c r="E46" s="159">
        <v>2</v>
      </c>
      <c r="F46" s="4">
        <v>6.7</v>
      </c>
      <c r="G46" s="153" t="s">
        <v>76</v>
      </c>
      <c r="H46" s="9"/>
      <c r="I46" s="159"/>
      <c r="J46" s="159"/>
      <c r="K46" s="4"/>
      <c r="L46" s="10"/>
      <c r="M46" s="23"/>
      <c r="N46" s="159"/>
      <c r="O46" s="159"/>
      <c r="P46" s="4"/>
      <c r="Q46" s="37"/>
      <c r="R46" s="9"/>
      <c r="S46" s="159"/>
      <c r="T46" s="159"/>
      <c r="U46" s="4"/>
      <c r="V46" s="10"/>
      <c r="W46" s="259"/>
      <c r="X46" s="3"/>
      <c r="Y46" s="3"/>
      <c r="Z46" s="4"/>
      <c r="AA46" s="10"/>
      <c r="AB46" s="15">
        <f t="shared" si="2"/>
        <v>1</v>
      </c>
      <c r="AC46" s="17">
        <f t="shared" si="0"/>
        <v>0</v>
      </c>
      <c r="AD46" s="17">
        <f t="shared" si="1"/>
        <v>2</v>
      </c>
      <c r="AE46" s="17">
        <f t="shared" si="3"/>
        <v>2</v>
      </c>
      <c r="AF46" s="17">
        <f t="shared" si="4"/>
        <v>1</v>
      </c>
      <c r="AG46" s="19">
        <f t="shared" si="5"/>
        <v>6.7</v>
      </c>
    </row>
    <row r="47" spans="2:33" x14ac:dyDescent="0.25">
      <c r="B47" s="236" t="s">
        <v>37</v>
      </c>
      <c r="C47" s="9" t="s">
        <v>50</v>
      </c>
      <c r="D47" s="159">
        <v>0</v>
      </c>
      <c r="E47" s="159">
        <v>0</v>
      </c>
      <c r="F47" s="4">
        <v>5.96</v>
      </c>
      <c r="G47" s="37"/>
      <c r="H47" s="9" t="s">
        <v>50</v>
      </c>
      <c r="I47" s="159">
        <v>1</v>
      </c>
      <c r="J47" s="159">
        <v>0</v>
      </c>
      <c r="K47" s="4">
        <v>6</v>
      </c>
      <c r="L47" s="10"/>
      <c r="M47" s="23" t="s">
        <v>50</v>
      </c>
      <c r="N47" s="159">
        <v>0</v>
      </c>
      <c r="O47" s="159">
        <v>0</v>
      </c>
      <c r="P47" s="4">
        <v>5.08</v>
      </c>
      <c r="Q47" s="37"/>
      <c r="R47" s="9"/>
      <c r="S47" s="159"/>
      <c r="T47" s="159"/>
      <c r="U47" s="4"/>
      <c r="V47" s="10"/>
      <c r="W47" s="259" t="s">
        <v>50</v>
      </c>
      <c r="X47" s="3">
        <v>1</v>
      </c>
      <c r="Y47" s="3">
        <v>0</v>
      </c>
      <c r="Z47" s="4">
        <v>6.48</v>
      </c>
      <c r="AA47" s="134" t="s">
        <v>76</v>
      </c>
      <c r="AB47" s="15">
        <f t="shared" ref="AB47" si="6">COUNTIF(C47:Z47,"P")</f>
        <v>4</v>
      </c>
      <c r="AC47" s="17">
        <f t="shared" ref="AC47" si="7">SUM(D47,I47,N47,S47,X47)</f>
        <v>2</v>
      </c>
      <c r="AD47" s="17">
        <f t="shared" ref="AD47" si="8">SUM(E47,J47,O47,T47,Y47)</f>
        <v>0</v>
      </c>
      <c r="AE47" s="17">
        <f t="shared" ref="AE47" si="9">SUM(AC47+AD47)</f>
        <v>2</v>
      </c>
      <c r="AF47" s="17">
        <f t="shared" si="4"/>
        <v>1</v>
      </c>
      <c r="AG47" s="19">
        <f t="shared" ref="AG47" si="10">IFERROR(AVERAGE(F47,K47,P47,U47,Z47),"-")</f>
        <v>5.88</v>
      </c>
    </row>
    <row r="48" spans="2:33" ht="15.75" thickBot="1" x14ac:dyDescent="0.3">
      <c r="B48" s="237" t="s">
        <v>85</v>
      </c>
      <c r="C48" s="9"/>
      <c r="D48" s="159"/>
      <c r="E48" s="159"/>
      <c r="F48" s="4"/>
      <c r="G48" s="37"/>
      <c r="H48" s="9"/>
      <c r="I48" s="159"/>
      <c r="J48" s="159"/>
      <c r="K48" s="4"/>
      <c r="L48" s="10"/>
      <c r="M48" s="23"/>
      <c r="N48" s="159"/>
      <c r="O48" s="159"/>
      <c r="P48" s="4"/>
      <c r="Q48" s="37"/>
      <c r="R48" s="9"/>
      <c r="S48" s="159"/>
      <c r="T48" s="159"/>
      <c r="U48" s="4"/>
      <c r="V48" s="10"/>
      <c r="W48" s="259"/>
      <c r="X48" s="3"/>
      <c r="Y48" s="3"/>
      <c r="Z48" s="4"/>
      <c r="AA48" s="10"/>
      <c r="AB48" s="16">
        <f t="shared" ref="AB48" si="11">COUNTIF(C48:Z48,"P")</f>
        <v>0</v>
      </c>
      <c r="AC48" s="18">
        <f t="shared" ref="AC48" si="12">SUM(D48,I48,N48,S48,X48)</f>
        <v>0</v>
      </c>
      <c r="AD48" s="18">
        <f t="shared" ref="AD48" si="13">SUM(E48,J48,O48,T48,Y48)</f>
        <v>0</v>
      </c>
      <c r="AE48" s="18">
        <f t="shared" ref="AE48" si="14">SUM(AC48+AD48)</f>
        <v>0</v>
      </c>
      <c r="AF48" s="18">
        <f t="shared" si="4"/>
        <v>0</v>
      </c>
      <c r="AG48" s="25" t="str">
        <f t="shared" ref="AG48" si="15">IFERROR(AVERAGE(F48,K48,P48,U48,Z48),"-")</f>
        <v>-</v>
      </c>
    </row>
    <row r="49" spans="2:33" ht="15.75" thickBot="1" x14ac:dyDescent="0.3">
      <c r="B49" s="236" t="s">
        <v>38</v>
      </c>
      <c r="C49" s="9"/>
      <c r="D49" s="159"/>
      <c r="E49" s="159"/>
      <c r="F49" s="4"/>
      <c r="G49" s="37"/>
      <c r="H49" s="9"/>
      <c r="I49" s="159"/>
      <c r="J49" s="159"/>
      <c r="K49" s="4"/>
      <c r="L49" s="10"/>
      <c r="M49" s="23"/>
      <c r="N49" s="159"/>
      <c r="O49" s="159"/>
      <c r="P49" s="4"/>
      <c r="Q49" s="37"/>
      <c r="R49" s="9"/>
      <c r="S49" s="159"/>
      <c r="T49" s="159"/>
      <c r="U49" s="4"/>
      <c r="V49" s="10"/>
      <c r="W49" s="259"/>
      <c r="X49" s="3"/>
      <c r="Y49" s="3"/>
      <c r="Z49" s="4"/>
      <c r="AA49" s="10"/>
      <c r="AB49" s="16">
        <f t="shared" ref="AB49" si="16">COUNTIF(C49:Z49,"P")</f>
        <v>0</v>
      </c>
      <c r="AC49" s="18">
        <f t="shared" ref="AC49" si="17">SUM(D49,I49,N49,S49,X49)</f>
        <v>0</v>
      </c>
      <c r="AD49" s="18">
        <f t="shared" ref="AD49" si="18">SUM(E49,J49,O49,T49,Y49)</f>
        <v>0</v>
      </c>
      <c r="AE49" s="18">
        <f t="shared" ref="AE49" si="19">SUM(AC49+AD49)</f>
        <v>0</v>
      </c>
      <c r="AF49" s="18">
        <f t="shared" ref="AF49" si="20">COUNTIF(G49:AA49,"F")</f>
        <v>0</v>
      </c>
      <c r="AG49" s="25" t="str">
        <f t="shared" ref="AG49" si="21">IFERROR(AVERAGE(F49,K49,P49,U49,Z49),"-")</f>
        <v>-</v>
      </c>
    </row>
    <row r="50" spans="2:33" ht="15.75" thickBot="1" x14ac:dyDescent="0.3">
      <c r="B50" s="236" t="s">
        <v>39</v>
      </c>
      <c r="C50" s="11"/>
      <c r="D50" s="12"/>
      <c r="E50" s="12"/>
      <c r="F50" s="14"/>
      <c r="G50" s="38"/>
      <c r="H50" s="11" t="s">
        <v>50</v>
      </c>
      <c r="I50" s="12">
        <v>0</v>
      </c>
      <c r="J50" s="12">
        <v>0</v>
      </c>
      <c r="K50" s="14">
        <v>4.82</v>
      </c>
      <c r="L50" s="13"/>
      <c r="M50" s="24"/>
      <c r="N50" s="12"/>
      <c r="O50" s="12"/>
      <c r="P50" s="14"/>
      <c r="Q50" s="38"/>
      <c r="R50" s="11"/>
      <c r="S50" s="12"/>
      <c r="T50" s="12"/>
      <c r="U50" s="14"/>
      <c r="V50" s="13"/>
      <c r="W50" s="261"/>
      <c r="X50" s="22"/>
      <c r="Y50" s="22"/>
      <c r="Z50" s="14"/>
      <c r="AA50" s="13"/>
      <c r="AB50" s="16">
        <f t="shared" ref="AB50" si="22">COUNTIF(C50:Z50,"P")</f>
        <v>1</v>
      </c>
      <c r="AC50" s="18">
        <f t="shared" ref="AC50" si="23">SUM(D50,I50,N50,S50,X50)</f>
        <v>0</v>
      </c>
      <c r="AD50" s="18">
        <f t="shared" ref="AD50" si="24">SUM(E50,J50,O50,T50,Y50)</f>
        <v>0</v>
      </c>
      <c r="AE50" s="18">
        <f t="shared" ref="AE50" si="25">SUM(AC50+AD50)</f>
        <v>0</v>
      </c>
      <c r="AF50" s="18">
        <f t="shared" ref="AF50" si="26">COUNTIF(G50:AA50,"F")</f>
        <v>0</v>
      </c>
      <c r="AG50" s="25">
        <f t="shared" ref="AG50" si="27">IFERROR(AVERAGE(F50,K50,P50,U50,Z50),"-")</f>
        <v>4.82</v>
      </c>
    </row>
    <row r="51" spans="2:33" ht="15.75" thickBot="1" x14ac:dyDescent="0.3">
      <c r="B51" s="237" t="s">
        <v>80</v>
      </c>
      <c r="C51" s="11"/>
      <c r="D51" s="12"/>
      <c r="E51" s="12"/>
      <c r="F51" s="14"/>
      <c r="G51" s="38"/>
      <c r="H51" s="11"/>
      <c r="I51" s="12"/>
      <c r="J51" s="12"/>
      <c r="K51" s="14"/>
      <c r="L51" s="13"/>
      <c r="M51" s="24"/>
      <c r="N51" s="12"/>
      <c r="O51" s="12"/>
      <c r="P51" s="14"/>
      <c r="Q51" s="38"/>
      <c r="R51" s="11"/>
      <c r="S51" s="12"/>
      <c r="T51" s="12"/>
      <c r="U51" s="14"/>
      <c r="V51" s="13"/>
      <c r="W51" s="261"/>
      <c r="X51" s="22"/>
      <c r="Y51" s="22"/>
      <c r="Z51" s="14"/>
      <c r="AA51" s="13"/>
      <c r="AB51" s="16">
        <f t="shared" ref="AB51:AB52" si="28">COUNTIF(C51:Z51,"P")</f>
        <v>0</v>
      </c>
      <c r="AC51" s="18">
        <f t="shared" ref="AC51:AC52" si="29">SUM(D51,I51,N51,S51,X51)</f>
        <v>0</v>
      </c>
      <c r="AD51" s="18">
        <f t="shared" ref="AD51:AD52" si="30">SUM(E51,J51,O51,T51,Y51)</f>
        <v>0</v>
      </c>
      <c r="AE51" s="18">
        <f t="shared" ref="AE51:AE52" si="31">SUM(AC51+AD51)</f>
        <v>0</v>
      </c>
      <c r="AF51" s="18">
        <f t="shared" ref="AF51:AF52" si="32">COUNTIF(G51:AA51,"F")</f>
        <v>0</v>
      </c>
      <c r="AG51" s="25" t="str">
        <f t="shared" ref="AG51:AG52" si="33">IFERROR(AVERAGE(F51,K51,P51,U51,Z51),"-")</f>
        <v>-</v>
      </c>
    </row>
    <row r="52" spans="2:33" ht="15.75" thickBot="1" x14ac:dyDescent="0.3">
      <c r="B52" s="238" t="s">
        <v>81</v>
      </c>
      <c r="C52" s="11"/>
      <c r="D52" s="12"/>
      <c r="E52" s="12"/>
      <c r="F52" s="14"/>
      <c r="G52" s="38"/>
      <c r="H52" s="11"/>
      <c r="I52" s="12"/>
      <c r="J52" s="12"/>
      <c r="K52" s="14"/>
      <c r="L52" s="13"/>
      <c r="M52" s="24"/>
      <c r="N52" s="12"/>
      <c r="O52" s="12"/>
      <c r="P52" s="14"/>
      <c r="Q52" s="38"/>
      <c r="R52" s="11"/>
      <c r="S52" s="12"/>
      <c r="T52" s="12"/>
      <c r="U52" s="14"/>
      <c r="V52" s="13"/>
      <c r="W52" s="261"/>
      <c r="X52" s="22"/>
      <c r="Y52" s="22"/>
      <c r="Z52" s="14"/>
      <c r="AA52" s="13"/>
      <c r="AB52" s="16">
        <f t="shared" si="28"/>
        <v>0</v>
      </c>
      <c r="AC52" s="18">
        <f t="shared" si="29"/>
        <v>0</v>
      </c>
      <c r="AD52" s="18">
        <f t="shared" si="30"/>
        <v>0</v>
      </c>
      <c r="AE52" s="18">
        <f t="shared" si="31"/>
        <v>0</v>
      </c>
      <c r="AF52" s="18">
        <f t="shared" si="32"/>
        <v>0</v>
      </c>
      <c r="AG52" s="25" t="str">
        <f t="shared" si="33"/>
        <v>-</v>
      </c>
    </row>
    <row r="53" spans="2:33" x14ac:dyDescent="0.25">
      <c r="B53" s="93"/>
      <c r="C53" s="166"/>
      <c r="D53" s="166"/>
      <c r="E53" s="166"/>
      <c r="F53" s="167"/>
      <c r="G53" s="167"/>
      <c r="H53" s="166"/>
      <c r="I53" s="166"/>
      <c r="J53" s="166"/>
      <c r="K53" s="167"/>
      <c r="L53" s="167"/>
      <c r="M53" s="166"/>
      <c r="N53" s="166"/>
      <c r="O53" s="166"/>
      <c r="P53" s="167"/>
      <c r="Q53" s="167"/>
      <c r="R53" s="166"/>
      <c r="S53" s="166"/>
      <c r="T53" s="166"/>
      <c r="U53" s="167"/>
      <c r="V53" s="167"/>
      <c r="W53" s="167"/>
      <c r="X53" s="168"/>
      <c r="Y53" s="168"/>
      <c r="Z53" s="167"/>
      <c r="AA53" s="167"/>
    </row>
    <row r="54" spans="2:33" x14ac:dyDescent="0.25">
      <c r="B54" s="93"/>
      <c r="C54" s="166"/>
      <c r="D54" s="166"/>
      <c r="E54" s="166"/>
      <c r="F54" s="167"/>
      <c r="G54" s="167"/>
      <c r="H54" s="166"/>
      <c r="I54" s="166"/>
      <c r="J54" s="166"/>
      <c r="K54" s="167"/>
      <c r="L54" s="167"/>
      <c r="M54" s="166"/>
      <c r="N54" s="166"/>
      <c r="O54" s="166"/>
      <c r="P54" s="167"/>
      <c r="Q54" s="167"/>
      <c r="R54" s="166"/>
      <c r="S54" s="166"/>
      <c r="T54" s="166"/>
      <c r="U54" s="167"/>
      <c r="V54" s="167"/>
      <c r="W54" s="167"/>
      <c r="X54" s="168"/>
      <c r="Y54" s="168"/>
      <c r="Z54" s="167"/>
      <c r="AA54" s="167"/>
    </row>
    <row r="55" spans="2:33" x14ac:dyDescent="0.25">
      <c r="B55" s="93"/>
      <c r="C55" s="166"/>
      <c r="D55" s="166"/>
      <c r="E55" s="166"/>
      <c r="F55" s="167"/>
      <c r="G55" s="167"/>
      <c r="H55" s="166"/>
      <c r="I55" s="166"/>
      <c r="J55" s="166"/>
      <c r="K55" s="167"/>
      <c r="L55" s="167"/>
      <c r="M55" s="166"/>
      <c r="N55" s="166"/>
      <c r="O55" s="166"/>
      <c r="P55" s="167"/>
      <c r="Q55" s="167"/>
      <c r="R55" s="166"/>
      <c r="S55" s="166"/>
      <c r="T55" s="166"/>
      <c r="U55" s="167"/>
      <c r="V55" s="167"/>
      <c r="W55" s="167"/>
      <c r="X55" s="168"/>
      <c r="Y55" s="168"/>
      <c r="Z55" s="167"/>
      <c r="AA55" s="167"/>
    </row>
    <row r="56" spans="2:33" x14ac:dyDescent="0.25">
      <c r="B56" s="93"/>
      <c r="C56" s="166"/>
      <c r="D56" s="166"/>
      <c r="E56" s="166"/>
      <c r="F56" s="167"/>
      <c r="G56" s="167"/>
      <c r="H56" s="166"/>
      <c r="I56" s="166"/>
      <c r="J56" s="166"/>
      <c r="K56" s="167"/>
      <c r="L56" s="167"/>
      <c r="M56" s="166"/>
      <c r="N56" s="166"/>
      <c r="O56" s="166"/>
      <c r="P56" s="167"/>
      <c r="Q56" s="167"/>
      <c r="R56" s="166"/>
      <c r="S56" s="166"/>
      <c r="T56" s="166"/>
      <c r="U56" s="167"/>
      <c r="V56" s="167"/>
      <c r="W56" s="167"/>
      <c r="X56" s="168"/>
      <c r="Y56" s="168"/>
      <c r="Z56" s="167"/>
      <c r="AA56" s="167"/>
    </row>
    <row r="57" spans="2:33" x14ac:dyDescent="0.25">
      <c r="B57" s="93"/>
      <c r="C57" s="166"/>
      <c r="D57" s="166"/>
      <c r="E57" s="166"/>
      <c r="F57" s="167"/>
      <c r="G57" s="167"/>
      <c r="H57" s="166"/>
      <c r="I57" s="166"/>
      <c r="J57" s="166"/>
      <c r="K57" s="167"/>
      <c r="L57" s="167"/>
      <c r="M57" s="166"/>
      <c r="N57" s="166"/>
      <c r="O57" s="166"/>
      <c r="P57" s="167"/>
      <c r="Q57" s="167"/>
      <c r="R57" s="166"/>
      <c r="S57" s="166"/>
      <c r="T57" s="166"/>
      <c r="U57" s="167"/>
      <c r="V57" s="167"/>
      <c r="W57" s="167"/>
      <c r="X57" s="168"/>
      <c r="Y57" s="168"/>
      <c r="Z57" s="167"/>
      <c r="AA57" s="167"/>
    </row>
  </sheetData>
  <sortState xmlns:xlrd2="http://schemas.microsoft.com/office/spreadsheetml/2017/richdata2" ref="B5:AA57">
    <sortCondition ref="B5:B57"/>
  </sortState>
  <mergeCells count="13">
    <mergeCell ref="B1:AG2"/>
    <mergeCell ref="B3:B4"/>
    <mergeCell ref="AB3:AB4"/>
    <mergeCell ref="AC3:AC4"/>
    <mergeCell ref="AD3:AD4"/>
    <mergeCell ref="AE3:AE4"/>
    <mergeCell ref="AG3:AG4"/>
    <mergeCell ref="AF3:AF4"/>
    <mergeCell ref="C3:G3"/>
    <mergeCell ref="H3:L3"/>
    <mergeCell ref="M3:Q3"/>
    <mergeCell ref="R3:V3"/>
    <mergeCell ref="W3:AA3"/>
  </mergeCells>
  <conditionalFormatting sqref="AB5:AB52">
    <cfRule type="dataBar" priority="10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{527B1A17-9935-4DEA-B22C-4E6E7BA90D55}</x14:id>
        </ext>
      </extLst>
    </cfRule>
  </conditionalFormatting>
  <conditionalFormatting sqref="AC3:AC1048576">
    <cfRule type="top10" dxfId="76" priority="9" rank="1"/>
    <cfRule type="top10" dxfId="75" priority="10" rank="5"/>
  </conditionalFormatting>
  <conditionalFormatting sqref="AD1:AD1048576">
    <cfRule type="top10" dxfId="74" priority="3" rank="1"/>
    <cfRule type="top10" dxfId="73" priority="4" rank="5"/>
  </conditionalFormatting>
  <conditionalFormatting sqref="AE1:AF3 AE4 AE5:AF1048576">
    <cfRule type="top10" dxfId="72" priority="5" rank="1"/>
    <cfRule type="top10" dxfId="71" priority="6" rank="5"/>
  </conditionalFormatting>
  <conditionalFormatting sqref="AF5:AF52">
    <cfRule type="top10" dxfId="70" priority="1" rank="1"/>
    <cfRule type="top10" dxfId="69" priority="2" rank="3"/>
  </conditionalFormatting>
  <conditionalFormatting sqref="AG3:AG1048576">
    <cfRule type="top10" dxfId="68" priority="7" rank="1"/>
    <cfRule type="top10" dxfId="67" priority="8" rank="5"/>
  </conditionalFormatting>
  <pageMargins left="0.511811024" right="0.511811024" top="0.78740157499999996" bottom="0.78740157499999996" header="0.31496062000000002" footer="0.31496062000000002"/>
  <pageSetup paperSize="9" scale="40" orientation="landscape" horizontalDpi="4294967292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7B1A17-9935-4DEA-B22C-4E6E7BA90D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AB5:AB52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2F602-03C9-45F9-859F-E551037CB9D8}">
  <sheetPr>
    <pageSetUpPr fitToPage="1"/>
  </sheetPr>
  <dimension ref="A1:AO57"/>
  <sheetViews>
    <sheetView showGridLines="0" topLeftCell="M1" zoomScale="80" zoomScaleNormal="80" workbookViewId="0">
      <pane ySplit="4" topLeftCell="A5" activePane="bottomLeft" state="frozen"/>
      <selection activeCell="B47" sqref="B47"/>
      <selection pane="bottomLeft" activeCell="B47" sqref="B47"/>
    </sheetView>
  </sheetViews>
  <sheetFormatPr defaultRowHeight="15" x14ac:dyDescent="0.25"/>
  <cols>
    <col min="1" max="1" width="7.140625" customWidth="1"/>
    <col min="2" max="2" width="28.42578125" style="6" customWidth="1"/>
    <col min="3" max="3" width="9.140625" customWidth="1"/>
    <col min="6" max="7" width="9.140625" style="5"/>
    <col min="11" max="12" width="9.140625" style="5"/>
    <col min="16" max="17" width="9.140625" style="5"/>
    <col min="21" max="22" width="9.140625" style="5"/>
    <col min="23" max="23" width="9.140625" style="54"/>
    <col min="24" max="25" width="9.140625" style="120"/>
    <col min="26" max="27" width="9.140625" style="54"/>
    <col min="28" max="28" width="14.7109375" customWidth="1"/>
    <col min="29" max="29" width="14.5703125" style="2" customWidth="1"/>
    <col min="30" max="30" width="13.85546875" style="2" customWidth="1"/>
    <col min="31" max="32" width="6.140625" style="2" customWidth="1"/>
    <col min="33" max="33" width="13.5703125" style="5" customWidth="1"/>
  </cols>
  <sheetData>
    <row r="1" spans="1:33" ht="15" customHeight="1" x14ac:dyDescent="0.25">
      <c r="B1" s="328" t="s">
        <v>42</v>
      </c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</row>
    <row r="2" spans="1:33" ht="15" customHeight="1" thickBot="1" x14ac:dyDescent="0.3">
      <c r="A2" s="1"/>
      <c r="B2" s="331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  <c r="AA2" s="332"/>
      <c r="AB2" s="332"/>
      <c r="AC2" s="332"/>
      <c r="AD2" s="332"/>
      <c r="AE2" s="332"/>
      <c r="AF2" s="332"/>
      <c r="AG2" s="332"/>
    </row>
    <row r="3" spans="1:33" x14ac:dyDescent="0.25">
      <c r="B3" s="310" t="s">
        <v>0</v>
      </c>
      <c r="C3" s="334">
        <v>45874</v>
      </c>
      <c r="D3" s="335"/>
      <c r="E3" s="335"/>
      <c r="F3" s="335"/>
      <c r="G3" s="336"/>
      <c r="H3" s="337">
        <f>C3+7</f>
        <v>45881</v>
      </c>
      <c r="I3" s="338"/>
      <c r="J3" s="338"/>
      <c r="K3" s="338"/>
      <c r="L3" s="339"/>
      <c r="M3" s="340">
        <f>H3+7</f>
        <v>45888</v>
      </c>
      <c r="N3" s="341"/>
      <c r="O3" s="341"/>
      <c r="P3" s="341"/>
      <c r="Q3" s="342"/>
      <c r="R3" s="343">
        <f>M3+7</f>
        <v>45895</v>
      </c>
      <c r="S3" s="344"/>
      <c r="T3" s="344"/>
      <c r="U3" s="344"/>
      <c r="V3" s="345"/>
      <c r="W3" s="346" t="s">
        <v>41</v>
      </c>
      <c r="X3" s="347"/>
      <c r="Y3" s="347"/>
      <c r="Z3" s="347"/>
      <c r="AA3" s="348"/>
      <c r="AB3" s="310" t="s">
        <v>45</v>
      </c>
      <c r="AC3" s="349" t="s">
        <v>46</v>
      </c>
      <c r="AD3" s="349" t="s">
        <v>47</v>
      </c>
      <c r="AE3" s="349" t="s">
        <v>72</v>
      </c>
      <c r="AF3" s="349" t="s">
        <v>75</v>
      </c>
      <c r="AG3" s="277" t="s">
        <v>48</v>
      </c>
    </row>
    <row r="4" spans="1:33" ht="15.75" thickBot="1" x14ac:dyDescent="0.3">
      <c r="B4" s="311"/>
      <c r="C4" s="191" t="s">
        <v>49</v>
      </c>
      <c r="D4" s="192" t="s">
        <v>43</v>
      </c>
      <c r="E4" s="192" t="s">
        <v>2</v>
      </c>
      <c r="F4" s="193" t="s">
        <v>40</v>
      </c>
      <c r="G4" s="239" t="s">
        <v>75</v>
      </c>
      <c r="H4" s="195" t="s">
        <v>49</v>
      </c>
      <c r="I4" s="196" t="s">
        <v>43</v>
      </c>
      <c r="J4" s="196" t="s">
        <v>2</v>
      </c>
      <c r="K4" s="197" t="s">
        <v>40</v>
      </c>
      <c r="L4" s="198" t="s">
        <v>75</v>
      </c>
      <c r="M4" s="214" t="s">
        <v>49</v>
      </c>
      <c r="N4" s="199" t="s">
        <v>44</v>
      </c>
      <c r="O4" s="199" t="s">
        <v>2</v>
      </c>
      <c r="P4" s="200" t="s">
        <v>40</v>
      </c>
      <c r="Q4" s="215" t="s">
        <v>75</v>
      </c>
      <c r="R4" s="202" t="s">
        <v>49</v>
      </c>
      <c r="S4" s="203" t="s">
        <v>43</v>
      </c>
      <c r="T4" s="203" t="s">
        <v>2</v>
      </c>
      <c r="U4" s="204" t="s">
        <v>40</v>
      </c>
      <c r="V4" s="205" t="s">
        <v>75</v>
      </c>
      <c r="W4" s="258" t="s">
        <v>49</v>
      </c>
      <c r="X4" s="206" t="s">
        <v>43</v>
      </c>
      <c r="Y4" s="206" t="s">
        <v>2</v>
      </c>
      <c r="Z4" s="207" t="s">
        <v>40</v>
      </c>
      <c r="AA4" s="208" t="s">
        <v>75</v>
      </c>
      <c r="AB4" s="311"/>
      <c r="AC4" s="350"/>
      <c r="AD4" s="350"/>
      <c r="AE4" s="350"/>
      <c r="AF4" s="350"/>
      <c r="AG4" s="278"/>
    </row>
    <row r="5" spans="1:33" x14ac:dyDescent="0.25">
      <c r="B5" s="236" t="s">
        <v>3</v>
      </c>
      <c r="C5" s="217" t="s">
        <v>50</v>
      </c>
      <c r="D5" s="218">
        <v>1</v>
      </c>
      <c r="E5" s="218">
        <v>1</v>
      </c>
      <c r="F5" s="219">
        <v>5.94</v>
      </c>
      <c r="G5" s="232"/>
      <c r="H5" s="217" t="s">
        <v>50</v>
      </c>
      <c r="I5" s="218">
        <v>2</v>
      </c>
      <c r="J5" s="218">
        <v>1</v>
      </c>
      <c r="K5" s="219">
        <v>7</v>
      </c>
      <c r="L5" s="246" t="s">
        <v>76</v>
      </c>
      <c r="M5" s="231" t="s">
        <v>50</v>
      </c>
      <c r="N5" s="218">
        <v>2</v>
      </c>
      <c r="O5" s="218">
        <v>0</v>
      </c>
      <c r="P5" s="219">
        <v>6.08</v>
      </c>
      <c r="Q5" s="250" t="s">
        <v>76</v>
      </c>
      <c r="R5" s="217" t="s">
        <v>50</v>
      </c>
      <c r="S5" s="218">
        <v>1</v>
      </c>
      <c r="T5" s="218">
        <v>0</v>
      </c>
      <c r="U5" s="219">
        <v>5.58</v>
      </c>
      <c r="V5" s="220"/>
      <c r="W5" s="242"/>
      <c r="X5" s="222"/>
      <c r="Y5" s="222"/>
      <c r="Z5" s="219"/>
      <c r="AA5" s="220"/>
      <c r="AB5" s="26">
        <f>COUNTIF(C5:Z5,"P")</f>
        <v>4</v>
      </c>
      <c r="AC5" s="27">
        <f t="shared" ref="AC5" si="0">SUM(D5,I5,N5,S5,X5)</f>
        <v>6</v>
      </c>
      <c r="AD5" s="27">
        <f t="shared" ref="AD5" si="1">SUM(E5,J5,O5,T5,Y5)</f>
        <v>2</v>
      </c>
      <c r="AE5" s="27">
        <f>SUM(AC5+AD5)</f>
        <v>8</v>
      </c>
      <c r="AF5" s="27">
        <f>COUNTIF(G5:AA5,"F")</f>
        <v>2</v>
      </c>
      <c r="AG5" s="28">
        <f>IFERROR(AVERAGE(F5,K5,P5,U5,Z5),"-")</f>
        <v>6.15</v>
      </c>
    </row>
    <row r="6" spans="1:33" x14ac:dyDescent="0.25">
      <c r="B6" s="236" t="s">
        <v>4</v>
      </c>
      <c r="C6" s="49"/>
      <c r="D6" s="137"/>
      <c r="E6" s="137"/>
      <c r="F6" s="138"/>
      <c r="G6" s="144"/>
      <c r="H6" s="49"/>
      <c r="I6" s="137"/>
      <c r="J6" s="137"/>
      <c r="K6" s="138"/>
      <c r="L6" s="139"/>
      <c r="M6" s="143"/>
      <c r="N6" s="137"/>
      <c r="O6" s="137"/>
      <c r="P6" s="138"/>
      <c r="Q6" s="144"/>
      <c r="R6" s="49"/>
      <c r="S6" s="137"/>
      <c r="T6" s="137"/>
      <c r="U6" s="138"/>
      <c r="V6" s="139"/>
      <c r="W6" s="243"/>
      <c r="X6" s="149"/>
      <c r="Y6" s="149"/>
      <c r="Z6" s="138"/>
      <c r="AA6" s="139"/>
      <c r="AB6" s="26">
        <f t="shared" ref="AB6:AB49" si="2">COUNTIF(C6:Z6,"P")</f>
        <v>0</v>
      </c>
      <c r="AC6" s="27">
        <f t="shared" ref="AC6:AC49" si="3">SUM(D6,I6,N6,S6,X6)</f>
        <v>0</v>
      </c>
      <c r="AD6" s="27">
        <f t="shared" ref="AD6:AD49" si="4">SUM(E6,J6,O6,T6,Y6)</f>
        <v>0</v>
      </c>
      <c r="AE6" s="27">
        <f t="shared" ref="AE6:AE49" si="5">SUM(AC6+AD6)</f>
        <v>0</v>
      </c>
      <c r="AF6" s="27">
        <f t="shared" ref="AF6:AF49" si="6">COUNTIF(G6:AA6,"F")</f>
        <v>0</v>
      </c>
      <c r="AG6" s="28" t="str">
        <f t="shared" ref="AG6:AG49" si="7">IFERROR(AVERAGE(F6,K6,P6,U6,Z6),"-")</f>
        <v>-</v>
      </c>
    </row>
    <row r="7" spans="1:33" x14ac:dyDescent="0.25">
      <c r="B7" s="236" t="s">
        <v>5</v>
      </c>
      <c r="C7" s="49" t="s">
        <v>50</v>
      </c>
      <c r="D7" s="137">
        <v>0</v>
      </c>
      <c r="E7" s="137">
        <v>0</v>
      </c>
      <c r="F7" s="138">
        <v>6.26</v>
      </c>
      <c r="G7" s="144"/>
      <c r="H7" s="49" t="s">
        <v>50</v>
      </c>
      <c r="I7" s="137">
        <v>0</v>
      </c>
      <c r="J7" s="137">
        <v>0</v>
      </c>
      <c r="K7" s="138">
        <v>4.32</v>
      </c>
      <c r="L7" s="139"/>
      <c r="M7" s="143"/>
      <c r="N7" s="137"/>
      <c r="O7" s="137"/>
      <c r="P7" s="138"/>
      <c r="Q7" s="144"/>
      <c r="R7" s="49"/>
      <c r="S7" s="137"/>
      <c r="T7" s="137"/>
      <c r="U7" s="138"/>
      <c r="V7" s="139"/>
      <c r="W7" s="243"/>
      <c r="X7" s="149"/>
      <c r="Y7" s="149"/>
      <c r="Z7" s="138"/>
      <c r="AA7" s="139"/>
      <c r="AB7" s="26">
        <f t="shared" si="2"/>
        <v>2</v>
      </c>
      <c r="AC7" s="27">
        <f t="shared" si="3"/>
        <v>0</v>
      </c>
      <c r="AD7" s="27">
        <f t="shared" si="4"/>
        <v>0</v>
      </c>
      <c r="AE7" s="27">
        <f t="shared" si="5"/>
        <v>0</v>
      </c>
      <c r="AF7" s="27">
        <f t="shared" si="6"/>
        <v>0</v>
      </c>
      <c r="AG7" s="28">
        <f t="shared" si="7"/>
        <v>5.29</v>
      </c>
    </row>
    <row r="8" spans="1:33" x14ac:dyDescent="0.25">
      <c r="B8" s="236" t="s">
        <v>74</v>
      </c>
      <c r="C8" s="49"/>
      <c r="D8" s="137"/>
      <c r="E8" s="137"/>
      <c r="F8" s="138"/>
      <c r="G8" s="144"/>
      <c r="H8" s="49"/>
      <c r="I8" s="137"/>
      <c r="J8" s="137"/>
      <c r="K8" s="138"/>
      <c r="L8" s="139"/>
      <c r="M8" s="143" t="s">
        <v>50</v>
      </c>
      <c r="N8" s="137">
        <v>0</v>
      </c>
      <c r="O8" s="137">
        <v>1</v>
      </c>
      <c r="P8" s="138">
        <v>4.9400000000000004</v>
      </c>
      <c r="Q8" s="144"/>
      <c r="R8" s="154"/>
      <c r="S8" s="137"/>
      <c r="T8" s="137"/>
      <c r="U8" s="138"/>
      <c r="V8" s="139"/>
      <c r="W8" s="243"/>
      <c r="X8" s="149"/>
      <c r="Y8" s="149"/>
      <c r="Z8" s="138"/>
      <c r="AA8" s="139"/>
      <c r="AB8" s="26">
        <f t="shared" si="2"/>
        <v>1</v>
      </c>
      <c r="AC8" s="27">
        <f t="shared" si="3"/>
        <v>0</v>
      </c>
      <c r="AD8" s="27">
        <f t="shared" si="4"/>
        <v>1</v>
      </c>
      <c r="AE8" s="27">
        <f t="shared" si="5"/>
        <v>1</v>
      </c>
      <c r="AF8" s="27">
        <f t="shared" si="6"/>
        <v>0</v>
      </c>
      <c r="AG8" s="28">
        <f t="shared" si="7"/>
        <v>4.9400000000000004</v>
      </c>
    </row>
    <row r="9" spans="1:33" x14ac:dyDescent="0.25">
      <c r="B9" s="236" t="s">
        <v>6</v>
      </c>
      <c r="C9" s="49"/>
      <c r="D9" s="137"/>
      <c r="E9" s="137"/>
      <c r="F9" s="138"/>
      <c r="G9" s="144"/>
      <c r="H9" s="49" t="s">
        <v>50</v>
      </c>
      <c r="I9" s="137">
        <v>0</v>
      </c>
      <c r="J9" s="137">
        <v>0</v>
      </c>
      <c r="K9" s="138">
        <v>6.76</v>
      </c>
      <c r="L9" s="247" t="s">
        <v>76</v>
      </c>
      <c r="M9" s="143"/>
      <c r="N9" s="137"/>
      <c r="O9" s="137"/>
      <c r="P9" s="138"/>
      <c r="Q9" s="144"/>
      <c r="R9" s="154"/>
      <c r="S9" s="137"/>
      <c r="T9" s="137"/>
      <c r="U9" s="138"/>
      <c r="V9" s="139"/>
      <c r="W9" s="243"/>
      <c r="X9" s="149"/>
      <c r="Y9" s="149"/>
      <c r="Z9" s="138"/>
      <c r="AA9" s="139"/>
      <c r="AB9" s="26">
        <f t="shared" si="2"/>
        <v>1</v>
      </c>
      <c r="AC9" s="27">
        <f t="shared" si="3"/>
        <v>0</v>
      </c>
      <c r="AD9" s="27">
        <f t="shared" si="4"/>
        <v>0</v>
      </c>
      <c r="AE9" s="27">
        <f t="shared" si="5"/>
        <v>0</v>
      </c>
      <c r="AF9" s="27">
        <f t="shared" si="6"/>
        <v>1</v>
      </c>
      <c r="AG9" s="28">
        <f t="shared" si="7"/>
        <v>6.76</v>
      </c>
    </row>
    <row r="10" spans="1:33" x14ac:dyDescent="0.25">
      <c r="B10" s="236" t="s">
        <v>7</v>
      </c>
      <c r="C10" s="49"/>
      <c r="D10" s="137"/>
      <c r="E10" s="137"/>
      <c r="F10" s="138"/>
      <c r="G10" s="144"/>
      <c r="H10" s="49"/>
      <c r="I10" s="137"/>
      <c r="J10" s="137"/>
      <c r="K10" s="138"/>
      <c r="L10" s="139"/>
      <c r="M10" s="143" t="s">
        <v>50</v>
      </c>
      <c r="N10" s="137">
        <v>0</v>
      </c>
      <c r="O10" s="137">
        <v>0</v>
      </c>
      <c r="P10" s="138">
        <v>6.5</v>
      </c>
      <c r="Q10" s="252" t="s">
        <v>76</v>
      </c>
      <c r="R10" s="49" t="s">
        <v>50</v>
      </c>
      <c r="S10" s="137">
        <v>0</v>
      </c>
      <c r="T10" s="137">
        <v>0</v>
      </c>
      <c r="U10" s="138">
        <v>5.7</v>
      </c>
      <c r="V10" s="139"/>
      <c r="W10" s="243"/>
      <c r="X10" s="149"/>
      <c r="Y10" s="149"/>
      <c r="Z10" s="138"/>
      <c r="AA10" s="139"/>
      <c r="AB10" s="26">
        <f t="shared" si="2"/>
        <v>2</v>
      </c>
      <c r="AC10" s="27">
        <f t="shared" si="3"/>
        <v>0</v>
      </c>
      <c r="AD10" s="27">
        <f t="shared" si="4"/>
        <v>0</v>
      </c>
      <c r="AE10" s="27">
        <f t="shared" si="5"/>
        <v>0</v>
      </c>
      <c r="AF10" s="27">
        <f t="shared" si="6"/>
        <v>1</v>
      </c>
      <c r="AG10" s="28">
        <f t="shared" si="7"/>
        <v>6.1</v>
      </c>
    </row>
    <row r="11" spans="1:33" x14ac:dyDescent="0.25">
      <c r="B11" s="236" t="s">
        <v>8</v>
      </c>
      <c r="C11" s="49" t="s">
        <v>50</v>
      </c>
      <c r="D11" s="137">
        <v>3</v>
      </c>
      <c r="E11" s="137">
        <v>3</v>
      </c>
      <c r="F11" s="138">
        <v>6.4</v>
      </c>
      <c r="G11" s="240" t="s">
        <v>76</v>
      </c>
      <c r="H11" s="49" t="s">
        <v>50</v>
      </c>
      <c r="I11" s="137">
        <v>1</v>
      </c>
      <c r="J11" s="137">
        <v>0</v>
      </c>
      <c r="K11" s="138">
        <v>5.44</v>
      </c>
      <c r="L11" s="139"/>
      <c r="M11" s="143" t="s">
        <v>50</v>
      </c>
      <c r="N11" s="137">
        <v>3</v>
      </c>
      <c r="O11" s="137">
        <v>2</v>
      </c>
      <c r="P11" s="138">
        <v>7.5</v>
      </c>
      <c r="Q11" s="252" t="s">
        <v>76</v>
      </c>
      <c r="R11" s="49" t="s">
        <v>50</v>
      </c>
      <c r="S11" s="137">
        <v>8</v>
      </c>
      <c r="T11" s="137">
        <v>3</v>
      </c>
      <c r="U11" s="138">
        <v>8.08</v>
      </c>
      <c r="V11" s="134" t="s">
        <v>76</v>
      </c>
      <c r="W11" s="243"/>
      <c r="X11" s="149"/>
      <c r="Y11" s="149"/>
      <c r="Z11" s="138"/>
      <c r="AA11" s="139"/>
      <c r="AB11" s="26">
        <f t="shared" si="2"/>
        <v>4</v>
      </c>
      <c r="AC11" s="27">
        <f t="shared" si="3"/>
        <v>15</v>
      </c>
      <c r="AD11" s="27">
        <f t="shared" si="4"/>
        <v>8</v>
      </c>
      <c r="AE11" s="27">
        <f t="shared" si="5"/>
        <v>23</v>
      </c>
      <c r="AF11" s="27">
        <f t="shared" si="6"/>
        <v>3</v>
      </c>
      <c r="AG11" s="28">
        <f t="shared" si="7"/>
        <v>6.8550000000000004</v>
      </c>
    </row>
    <row r="12" spans="1:33" x14ac:dyDescent="0.25">
      <c r="B12" s="236" t="s">
        <v>9</v>
      </c>
      <c r="C12" s="49" t="s">
        <v>50</v>
      </c>
      <c r="D12" s="137">
        <v>2</v>
      </c>
      <c r="E12" s="137">
        <v>0</v>
      </c>
      <c r="F12" s="138">
        <v>5.4</v>
      </c>
      <c r="G12" s="144"/>
      <c r="H12" s="49" t="s">
        <v>50</v>
      </c>
      <c r="I12" s="137">
        <v>2</v>
      </c>
      <c r="J12" s="137">
        <v>0</v>
      </c>
      <c r="K12" s="138">
        <v>5.68</v>
      </c>
      <c r="L12" s="139"/>
      <c r="M12" s="143"/>
      <c r="N12" s="137"/>
      <c r="O12" s="137"/>
      <c r="P12" s="138"/>
      <c r="Q12" s="144"/>
      <c r="R12" s="49" t="s">
        <v>50</v>
      </c>
      <c r="S12" s="137">
        <v>0</v>
      </c>
      <c r="T12" s="137">
        <v>0</v>
      </c>
      <c r="U12" s="138"/>
      <c r="V12" s="139"/>
      <c r="W12" s="243"/>
      <c r="X12" s="149"/>
      <c r="Y12" s="149"/>
      <c r="Z12" s="138"/>
      <c r="AA12" s="139"/>
      <c r="AB12" s="26">
        <f t="shared" si="2"/>
        <v>3</v>
      </c>
      <c r="AC12" s="27">
        <f t="shared" si="3"/>
        <v>4</v>
      </c>
      <c r="AD12" s="27">
        <f t="shared" si="4"/>
        <v>0</v>
      </c>
      <c r="AE12" s="27">
        <f t="shared" si="5"/>
        <v>4</v>
      </c>
      <c r="AF12" s="27">
        <f t="shared" si="6"/>
        <v>0</v>
      </c>
      <c r="AG12" s="28">
        <f t="shared" si="7"/>
        <v>5.54</v>
      </c>
    </row>
    <row r="13" spans="1:33" x14ac:dyDescent="0.25">
      <c r="B13" s="236" t="s">
        <v>10</v>
      </c>
      <c r="C13" s="49"/>
      <c r="D13" s="137"/>
      <c r="E13" s="137"/>
      <c r="F13" s="138"/>
      <c r="G13" s="144"/>
      <c r="H13" s="49"/>
      <c r="I13" s="137"/>
      <c r="J13" s="137"/>
      <c r="K13" s="138"/>
      <c r="L13" s="139"/>
      <c r="M13" s="143"/>
      <c r="N13" s="137"/>
      <c r="O13" s="137"/>
      <c r="P13" s="138"/>
      <c r="Q13" s="144"/>
      <c r="R13" s="49"/>
      <c r="S13" s="137"/>
      <c r="T13" s="137"/>
      <c r="U13" s="138"/>
      <c r="V13" s="139"/>
      <c r="W13" s="243"/>
      <c r="X13" s="149"/>
      <c r="Y13" s="149"/>
      <c r="Z13" s="138"/>
      <c r="AA13" s="139"/>
      <c r="AB13" s="26">
        <f t="shared" si="2"/>
        <v>0</v>
      </c>
      <c r="AC13" s="27">
        <f t="shared" si="3"/>
        <v>0</v>
      </c>
      <c r="AD13" s="27">
        <f t="shared" si="4"/>
        <v>0</v>
      </c>
      <c r="AE13" s="27">
        <f t="shared" si="5"/>
        <v>0</v>
      </c>
      <c r="AF13" s="27">
        <f t="shared" si="6"/>
        <v>0</v>
      </c>
      <c r="AG13" s="28" t="str">
        <f t="shared" si="7"/>
        <v>-</v>
      </c>
    </row>
    <row r="14" spans="1:33" x14ac:dyDescent="0.25">
      <c r="B14" s="236" t="s">
        <v>11</v>
      </c>
      <c r="C14" s="49"/>
      <c r="D14" s="137"/>
      <c r="E14" s="137"/>
      <c r="F14" s="138"/>
      <c r="G14" s="144"/>
      <c r="H14" s="49"/>
      <c r="I14" s="137"/>
      <c r="J14" s="137"/>
      <c r="K14" s="138"/>
      <c r="L14" s="139"/>
      <c r="M14" s="143"/>
      <c r="N14" s="137"/>
      <c r="O14" s="137"/>
      <c r="P14" s="138"/>
      <c r="Q14" s="144"/>
      <c r="R14" s="49"/>
      <c r="S14" s="137"/>
      <c r="T14" s="137"/>
      <c r="U14" s="138"/>
      <c r="V14" s="139"/>
      <c r="W14" s="243"/>
      <c r="X14" s="149"/>
      <c r="Y14" s="149"/>
      <c r="Z14" s="138"/>
      <c r="AA14" s="139"/>
      <c r="AB14" s="26">
        <f t="shared" si="2"/>
        <v>0</v>
      </c>
      <c r="AC14" s="27">
        <f t="shared" si="3"/>
        <v>0</v>
      </c>
      <c r="AD14" s="27">
        <f t="shared" si="4"/>
        <v>0</v>
      </c>
      <c r="AE14" s="27">
        <f t="shared" si="5"/>
        <v>0</v>
      </c>
      <c r="AF14" s="27">
        <f t="shared" si="6"/>
        <v>0</v>
      </c>
      <c r="AG14" s="28" t="str">
        <f t="shared" si="7"/>
        <v>-</v>
      </c>
    </row>
    <row r="15" spans="1:33" x14ac:dyDescent="0.25">
      <c r="B15" s="237" t="s">
        <v>83</v>
      </c>
      <c r="C15" s="9"/>
      <c r="D15" s="159"/>
      <c r="E15" s="159"/>
      <c r="F15" s="4"/>
      <c r="G15" s="37"/>
      <c r="H15" s="9"/>
      <c r="I15" s="159"/>
      <c r="J15" s="159"/>
      <c r="K15" s="4"/>
      <c r="L15" s="10"/>
      <c r="M15" s="23"/>
      <c r="N15" s="159"/>
      <c r="O15" s="159"/>
      <c r="P15" s="4"/>
      <c r="Q15" s="37"/>
      <c r="R15" s="9"/>
      <c r="S15" s="159"/>
      <c r="T15" s="159"/>
      <c r="U15" s="4"/>
      <c r="V15" s="10"/>
      <c r="W15" s="259"/>
      <c r="X15" s="3"/>
      <c r="Y15" s="3"/>
      <c r="Z15" s="4"/>
      <c r="AA15" s="10"/>
      <c r="AB15" s="26">
        <f t="shared" si="2"/>
        <v>0</v>
      </c>
      <c r="AC15" s="27">
        <f t="shared" si="3"/>
        <v>0</v>
      </c>
      <c r="AD15" s="27">
        <f t="shared" si="4"/>
        <v>0</v>
      </c>
      <c r="AE15" s="27">
        <f t="shared" si="5"/>
        <v>0</v>
      </c>
      <c r="AF15" s="27">
        <f t="shared" si="6"/>
        <v>0</v>
      </c>
      <c r="AG15" s="28" t="str">
        <f t="shared" si="7"/>
        <v>-</v>
      </c>
    </row>
    <row r="16" spans="1:33" x14ac:dyDescent="0.25">
      <c r="B16" s="236" t="s">
        <v>12</v>
      </c>
      <c r="C16" s="49"/>
      <c r="D16" s="137"/>
      <c r="E16" s="137"/>
      <c r="F16" s="138"/>
      <c r="G16" s="144"/>
      <c r="H16" s="49" t="s">
        <v>50</v>
      </c>
      <c r="I16" s="137">
        <v>0</v>
      </c>
      <c r="J16" s="137">
        <v>0</v>
      </c>
      <c r="K16" s="138">
        <v>7.26</v>
      </c>
      <c r="L16" s="247" t="s">
        <v>76</v>
      </c>
      <c r="M16" s="143" t="s">
        <v>50</v>
      </c>
      <c r="N16" s="137">
        <v>0</v>
      </c>
      <c r="O16" s="137">
        <v>0</v>
      </c>
      <c r="P16" s="138">
        <v>5.72</v>
      </c>
      <c r="Q16" s="144"/>
      <c r="R16" s="49" t="s">
        <v>50</v>
      </c>
      <c r="S16" s="137">
        <v>0</v>
      </c>
      <c r="T16" s="137">
        <v>0</v>
      </c>
      <c r="U16" s="138">
        <v>6.76</v>
      </c>
      <c r="V16" s="134" t="s">
        <v>76</v>
      </c>
      <c r="W16" s="243"/>
      <c r="X16" s="149"/>
      <c r="Y16" s="149"/>
      <c r="Z16" s="138"/>
      <c r="AA16" s="139"/>
      <c r="AB16" s="26">
        <f t="shared" si="2"/>
        <v>3</v>
      </c>
      <c r="AC16" s="27">
        <f t="shared" si="3"/>
        <v>0</v>
      </c>
      <c r="AD16" s="27">
        <f t="shared" si="4"/>
        <v>0</v>
      </c>
      <c r="AE16" s="27">
        <f t="shared" si="5"/>
        <v>0</v>
      </c>
      <c r="AF16" s="27">
        <f t="shared" si="6"/>
        <v>2</v>
      </c>
      <c r="AG16" s="28">
        <f t="shared" si="7"/>
        <v>6.580000000000001</v>
      </c>
    </row>
    <row r="17" spans="2:33" x14ac:dyDescent="0.25">
      <c r="B17" s="236" t="s">
        <v>56</v>
      </c>
      <c r="C17" s="49"/>
      <c r="D17" s="137"/>
      <c r="E17" s="137"/>
      <c r="F17" s="138"/>
      <c r="G17" s="144"/>
      <c r="H17" s="49" t="s">
        <v>50</v>
      </c>
      <c r="I17" s="137">
        <v>0</v>
      </c>
      <c r="J17" s="137">
        <v>0</v>
      </c>
      <c r="K17" s="138">
        <v>4.38</v>
      </c>
      <c r="L17" s="139"/>
      <c r="M17" s="143"/>
      <c r="N17" s="137"/>
      <c r="O17" s="137"/>
      <c r="P17" s="138"/>
      <c r="Q17" s="144"/>
      <c r="R17" s="49"/>
      <c r="S17" s="137"/>
      <c r="T17" s="137"/>
      <c r="U17" s="138"/>
      <c r="V17" s="139"/>
      <c r="W17" s="243"/>
      <c r="X17" s="149"/>
      <c r="Y17" s="149"/>
      <c r="Z17" s="138"/>
      <c r="AA17" s="139"/>
      <c r="AB17" s="26">
        <f t="shared" si="2"/>
        <v>1</v>
      </c>
      <c r="AC17" s="27">
        <f t="shared" si="3"/>
        <v>0</v>
      </c>
      <c r="AD17" s="27">
        <f t="shared" si="4"/>
        <v>0</v>
      </c>
      <c r="AE17" s="27">
        <f t="shared" si="5"/>
        <v>0</v>
      </c>
      <c r="AF17" s="27">
        <f t="shared" si="6"/>
        <v>0</v>
      </c>
      <c r="AG17" s="28">
        <f t="shared" si="7"/>
        <v>4.38</v>
      </c>
    </row>
    <row r="18" spans="2:33" x14ac:dyDescent="0.25">
      <c r="B18" s="236" t="s">
        <v>13</v>
      </c>
      <c r="C18" s="49"/>
      <c r="D18" s="137"/>
      <c r="E18" s="137"/>
      <c r="F18" s="138"/>
      <c r="G18" s="144"/>
      <c r="H18" s="49"/>
      <c r="I18" s="137"/>
      <c r="J18" s="137"/>
      <c r="K18" s="138"/>
      <c r="L18" s="139"/>
      <c r="M18" s="143"/>
      <c r="N18" s="137"/>
      <c r="O18" s="137"/>
      <c r="P18" s="138"/>
      <c r="Q18" s="144"/>
      <c r="R18" s="49"/>
      <c r="S18" s="137"/>
      <c r="T18" s="137"/>
      <c r="U18" s="138"/>
      <c r="V18" s="139"/>
      <c r="W18" s="243"/>
      <c r="X18" s="149"/>
      <c r="Y18" s="149"/>
      <c r="Z18" s="138"/>
      <c r="AA18" s="139"/>
      <c r="AB18" s="26">
        <f t="shared" si="2"/>
        <v>0</v>
      </c>
      <c r="AC18" s="27">
        <f t="shared" si="3"/>
        <v>0</v>
      </c>
      <c r="AD18" s="27">
        <f t="shared" si="4"/>
        <v>0</v>
      </c>
      <c r="AE18" s="27">
        <f t="shared" si="5"/>
        <v>0</v>
      </c>
      <c r="AF18" s="27">
        <f t="shared" si="6"/>
        <v>0</v>
      </c>
      <c r="AG18" s="28" t="str">
        <f t="shared" si="7"/>
        <v>-</v>
      </c>
    </row>
    <row r="19" spans="2:33" x14ac:dyDescent="0.25">
      <c r="B19" s="236" t="s">
        <v>14</v>
      </c>
      <c r="C19" s="49"/>
      <c r="D19" s="137"/>
      <c r="E19" s="137"/>
      <c r="F19" s="138"/>
      <c r="G19" s="144"/>
      <c r="H19" s="49"/>
      <c r="I19" s="137"/>
      <c r="J19" s="137"/>
      <c r="K19" s="138"/>
      <c r="L19" s="139"/>
      <c r="M19" s="143"/>
      <c r="N19" s="137"/>
      <c r="O19" s="137"/>
      <c r="P19" s="138"/>
      <c r="Q19" s="144"/>
      <c r="R19" s="49"/>
      <c r="S19" s="137"/>
      <c r="T19" s="137"/>
      <c r="U19" s="138"/>
      <c r="V19" s="139"/>
      <c r="W19" s="243"/>
      <c r="X19" s="149"/>
      <c r="Y19" s="149"/>
      <c r="Z19" s="138"/>
      <c r="AA19" s="139"/>
      <c r="AB19" s="26">
        <f t="shared" si="2"/>
        <v>0</v>
      </c>
      <c r="AC19" s="27">
        <f t="shared" si="3"/>
        <v>0</v>
      </c>
      <c r="AD19" s="27">
        <f t="shared" si="4"/>
        <v>0</v>
      </c>
      <c r="AE19" s="27">
        <f t="shared" si="5"/>
        <v>0</v>
      </c>
      <c r="AF19" s="27">
        <f t="shared" si="6"/>
        <v>0</v>
      </c>
      <c r="AG19" s="28" t="str">
        <f t="shared" si="7"/>
        <v>-</v>
      </c>
    </row>
    <row r="20" spans="2:33" x14ac:dyDescent="0.25">
      <c r="B20" s="237" t="s">
        <v>86</v>
      </c>
      <c r="C20" s="9"/>
      <c r="D20" s="159"/>
      <c r="E20" s="159"/>
      <c r="F20" s="4"/>
      <c r="G20" s="37"/>
      <c r="H20" s="9"/>
      <c r="I20" s="159"/>
      <c r="J20" s="159"/>
      <c r="K20" s="4"/>
      <c r="L20" s="10"/>
      <c r="M20" s="23"/>
      <c r="N20" s="159"/>
      <c r="O20" s="159"/>
      <c r="P20" s="4"/>
      <c r="Q20" s="37"/>
      <c r="R20" s="9"/>
      <c r="S20" s="159"/>
      <c r="T20" s="159"/>
      <c r="U20" s="4"/>
      <c r="V20" s="10"/>
      <c r="W20" s="259"/>
      <c r="X20" s="3"/>
      <c r="Y20" s="3"/>
      <c r="Z20" s="4"/>
      <c r="AA20" s="10"/>
      <c r="AB20" s="26">
        <f t="shared" si="2"/>
        <v>0</v>
      </c>
      <c r="AC20" s="27">
        <f t="shared" si="3"/>
        <v>0</v>
      </c>
      <c r="AD20" s="27">
        <f t="shared" si="4"/>
        <v>0</v>
      </c>
      <c r="AE20" s="27">
        <f t="shared" si="5"/>
        <v>0</v>
      </c>
      <c r="AF20" s="27">
        <f t="shared" si="6"/>
        <v>0</v>
      </c>
      <c r="AG20" s="28" t="str">
        <f t="shared" si="7"/>
        <v>-</v>
      </c>
    </row>
    <row r="21" spans="2:33" x14ac:dyDescent="0.25">
      <c r="B21" s="236" t="s">
        <v>15</v>
      </c>
      <c r="C21" s="49" t="s">
        <v>50</v>
      </c>
      <c r="D21" s="137">
        <v>1</v>
      </c>
      <c r="E21" s="137">
        <v>0</v>
      </c>
      <c r="F21" s="138">
        <v>4.9400000000000004</v>
      </c>
      <c r="G21" s="144"/>
      <c r="H21" s="49" t="s">
        <v>50</v>
      </c>
      <c r="I21" s="137">
        <v>0</v>
      </c>
      <c r="J21" s="137">
        <v>0</v>
      </c>
      <c r="K21" s="138">
        <v>5.3</v>
      </c>
      <c r="L21" s="139"/>
      <c r="M21" s="143" t="s">
        <v>50</v>
      </c>
      <c r="N21" s="137">
        <v>0</v>
      </c>
      <c r="O21" s="137">
        <v>0</v>
      </c>
      <c r="P21" s="138">
        <v>5.0599999999999996</v>
      </c>
      <c r="Q21" s="144"/>
      <c r="R21" s="49" t="s">
        <v>50</v>
      </c>
      <c r="S21" s="137">
        <v>0</v>
      </c>
      <c r="T21" s="137">
        <v>0</v>
      </c>
      <c r="U21" s="138">
        <v>3.76</v>
      </c>
      <c r="V21" s="139"/>
      <c r="W21" s="243"/>
      <c r="X21" s="149"/>
      <c r="Y21" s="149"/>
      <c r="Z21" s="138"/>
      <c r="AA21" s="139"/>
      <c r="AB21" s="26">
        <f t="shared" si="2"/>
        <v>4</v>
      </c>
      <c r="AC21" s="27">
        <f t="shared" si="3"/>
        <v>1</v>
      </c>
      <c r="AD21" s="27">
        <f t="shared" si="4"/>
        <v>0</v>
      </c>
      <c r="AE21" s="27">
        <f t="shared" si="5"/>
        <v>1</v>
      </c>
      <c r="AF21" s="27">
        <f t="shared" si="6"/>
        <v>0</v>
      </c>
      <c r="AG21" s="28">
        <f t="shared" si="7"/>
        <v>4.7650000000000006</v>
      </c>
    </row>
    <row r="22" spans="2:33" x14ac:dyDescent="0.25">
      <c r="B22" s="236" t="s">
        <v>16</v>
      </c>
      <c r="C22" s="49" t="s">
        <v>50</v>
      </c>
      <c r="D22" s="137">
        <v>6</v>
      </c>
      <c r="E22" s="137">
        <v>2</v>
      </c>
      <c r="F22" s="138">
        <v>7.54</v>
      </c>
      <c r="G22" s="240" t="s">
        <v>76</v>
      </c>
      <c r="H22" s="49" t="s">
        <v>50</v>
      </c>
      <c r="I22" s="137">
        <v>1</v>
      </c>
      <c r="J22" s="137">
        <v>0</v>
      </c>
      <c r="K22" s="138">
        <v>5.26</v>
      </c>
      <c r="L22" s="139"/>
      <c r="M22" s="143" t="s">
        <v>50</v>
      </c>
      <c r="N22" s="137">
        <v>3</v>
      </c>
      <c r="O22" s="137">
        <v>0</v>
      </c>
      <c r="P22" s="138">
        <v>5.42</v>
      </c>
      <c r="Q22" s="144"/>
      <c r="R22" s="49"/>
      <c r="S22" s="137"/>
      <c r="T22" s="137"/>
      <c r="U22" s="138"/>
      <c r="V22" s="139"/>
      <c r="W22" s="243"/>
      <c r="X22" s="149"/>
      <c r="Y22" s="149"/>
      <c r="Z22" s="138"/>
      <c r="AA22" s="139"/>
      <c r="AB22" s="26">
        <f t="shared" si="2"/>
        <v>3</v>
      </c>
      <c r="AC22" s="27">
        <f t="shared" si="3"/>
        <v>10</v>
      </c>
      <c r="AD22" s="27">
        <f t="shared" si="4"/>
        <v>2</v>
      </c>
      <c r="AE22" s="27">
        <f t="shared" si="5"/>
        <v>12</v>
      </c>
      <c r="AF22" s="27">
        <f t="shared" si="6"/>
        <v>1</v>
      </c>
      <c r="AG22" s="28">
        <f t="shared" si="7"/>
        <v>6.0733333333333333</v>
      </c>
    </row>
    <row r="23" spans="2:33" x14ac:dyDescent="0.25">
      <c r="B23" s="236" t="s">
        <v>17</v>
      </c>
      <c r="C23" s="49" t="s">
        <v>50</v>
      </c>
      <c r="D23" s="137">
        <v>3</v>
      </c>
      <c r="E23" s="137">
        <v>3</v>
      </c>
      <c r="F23" s="138">
        <v>6.46</v>
      </c>
      <c r="G23" s="240" t="s">
        <v>76</v>
      </c>
      <c r="H23" s="49" t="s">
        <v>50</v>
      </c>
      <c r="I23" s="137">
        <v>4</v>
      </c>
      <c r="J23" s="137">
        <v>5</v>
      </c>
      <c r="K23" s="138">
        <v>7.5</v>
      </c>
      <c r="L23" s="247" t="s">
        <v>76</v>
      </c>
      <c r="M23" s="143" t="s">
        <v>50</v>
      </c>
      <c r="N23" s="137">
        <v>3</v>
      </c>
      <c r="O23" s="137">
        <v>3</v>
      </c>
      <c r="P23" s="138">
        <v>7.28</v>
      </c>
      <c r="Q23" s="144"/>
      <c r="R23" s="49" t="s">
        <v>50</v>
      </c>
      <c r="S23" s="137">
        <v>1</v>
      </c>
      <c r="T23" s="137">
        <v>2</v>
      </c>
      <c r="U23" s="138">
        <v>6.76</v>
      </c>
      <c r="V23" s="134" t="s">
        <v>76</v>
      </c>
      <c r="W23" s="243"/>
      <c r="X23" s="149"/>
      <c r="Y23" s="149"/>
      <c r="Z23" s="138"/>
      <c r="AA23" s="139"/>
      <c r="AB23" s="26">
        <f t="shared" si="2"/>
        <v>4</v>
      </c>
      <c r="AC23" s="27">
        <f t="shared" si="3"/>
        <v>11</v>
      </c>
      <c r="AD23" s="27">
        <f t="shared" si="4"/>
        <v>13</v>
      </c>
      <c r="AE23" s="27">
        <f t="shared" si="5"/>
        <v>24</v>
      </c>
      <c r="AF23" s="27">
        <f t="shared" si="6"/>
        <v>3</v>
      </c>
      <c r="AG23" s="28">
        <f t="shared" si="7"/>
        <v>7</v>
      </c>
    </row>
    <row r="24" spans="2:33" x14ac:dyDescent="0.25">
      <c r="B24" s="236" t="s">
        <v>18</v>
      </c>
      <c r="C24" s="49"/>
      <c r="D24" s="137"/>
      <c r="E24" s="137"/>
      <c r="F24" s="138"/>
      <c r="G24" s="144"/>
      <c r="H24" s="49"/>
      <c r="I24" s="137"/>
      <c r="J24" s="137"/>
      <c r="K24" s="138"/>
      <c r="L24" s="139"/>
      <c r="M24" s="143"/>
      <c r="N24" s="137"/>
      <c r="O24" s="137"/>
      <c r="P24" s="138"/>
      <c r="Q24" s="144"/>
      <c r="R24" s="49"/>
      <c r="S24" s="137"/>
      <c r="T24" s="137"/>
      <c r="U24" s="138"/>
      <c r="V24" s="139"/>
      <c r="W24" s="243"/>
      <c r="X24" s="149"/>
      <c r="Y24" s="149"/>
      <c r="Z24" s="138"/>
      <c r="AA24" s="139"/>
      <c r="AB24" s="26">
        <f t="shared" si="2"/>
        <v>0</v>
      </c>
      <c r="AC24" s="27">
        <f t="shared" si="3"/>
        <v>0</v>
      </c>
      <c r="AD24" s="27">
        <f t="shared" si="4"/>
        <v>0</v>
      </c>
      <c r="AE24" s="27">
        <f t="shared" si="5"/>
        <v>0</v>
      </c>
      <c r="AF24" s="27">
        <f t="shared" si="6"/>
        <v>0</v>
      </c>
      <c r="AG24" s="28" t="str">
        <f t="shared" si="7"/>
        <v>-</v>
      </c>
    </row>
    <row r="25" spans="2:33" x14ac:dyDescent="0.25">
      <c r="B25" s="236" t="s">
        <v>19</v>
      </c>
      <c r="C25" s="49"/>
      <c r="D25" s="137"/>
      <c r="E25" s="137"/>
      <c r="F25" s="138"/>
      <c r="G25" s="144"/>
      <c r="H25" s="49" t="s">
        <v>50</v>
      </c>
      <c r="I25" s="137">
        <v>0</v>
      </c>
      <c r="J25" s="137">
        <v>1</v>
      </c>
      <c r="K25" s="138">
        <v>8.32</v>
      </c>
      <c r="L25" s="247" t="s">
        <v>76</v>
      </c>
      <c r="M25" s="143" t="s">
        <v>50</v>
      </c>
      <c r="N25" s="137">
        <v>0</v>
      </c>
      <c r="O25" s="137">
        <v>1</v>
      </c>
      <c r="P25" s="138">
        <v>4.74</v>
      </c>
      <c r="Q25" s="144"/>
      <c r="R25" s="49" t="s">
        <v>50</v>
      </c>
      <c r="S25" s="137">
        <v>0</v>
      </c>
      <c r="T25" s="137">
        <v>0</v>
      </c>
      <c r="U25" s="138">
        <v>4.8600000000000003</v>
      </c>
      <c r="V25" s="139"/>
      <c r="W25" s="243"/>
      <c r="X25" s="149"/>
      <c r="Y25" s="149"/>
      <c r="Z25" s="138"/>
      <c r="AA25" s="139"/>
      <c r="AB25" s="26">
        <f t="shared" si="2"/>
        <v>3</v>
      </c>
      <c r="AC25" s="27">
        <f t="shared" si="3"/>
        <v>0</v>
      </c>
      <c r="AD25" s="27">
        <f t="shared" si="4"/>
        <v>2</v>
      </c>
      <c r="AE25" s="27">
        <f t="shared" si="5"/>
        <v>2</v>
      </c>
      <c r="AF25" s="27">
        <f t="shared" si="6"/>
        <v>1</v>
      </c>
      <c r="AG25" s="28">
        <f t="shared" si="7"/>
        <v>5.9733333333333336</v>
      </c>
    </row>
    <row r="26" spans="2:33" x14ac:dyDescent="0.25">
      <c r="B26" s="236" t="s">
        <v>79</v>
      </c>
      <c r="C26" s="49"/>
      <c r="D26" s="137"/>
      <c r="E26" s="137"/>
      <c r="F26" s="138"/>
      <c r="G26" s="144"/>
      <c r="H26" s="49"/>
      <c r="I26" s="137"/>
      <c r="J26" s="137"/>
      <c r="K26" s="138"/>
      <c r="L26" s="139"/>
      <c r="M26" s="143"/>
      <c r="N26" s="137"/>
      <c r="O26" s="137"/>
      <c r="P26" s="138"/>
      <c r="Q26" s="144"/>
      <c r="R26" s="49"/>
      <c r="S26" s="137"/>
      <c r="T26" s="137"/>
      <c r="U26" s="138"/>
      <c r="V26" s="139"/>
      <c r="W26" s="243"/>
      <c r="X26" s="149"/>
      <c r="Y26" s="149"/>
      <c r="Z26" s="138"/>
      <c r="AA26" s="139"/>
      <c r="AB26" s="26">
        <f t="shared" si="2"/>
        <v>0</v>
      </c>
      <c r="AC26" s="27">
        <f t="shared" si="3"/>
        <v>0</v>
      </c>
      <c r="AD26" s="27">
        <f t="shared" si="4"/>
        <v>0</v>
      </c>
      <c r="AE26" s="27">
        <f t="shared" si="5"/>
        <v>0</v>
      </c>
      <c r="AF26" s="27">
        <f t="shared" si="6"/>
        <v>0</v>
      </c>
      <c r="AG26" s="28" t="str">
        <f t="shared" si="7"/>
        <v>-</v>
      </c>
    </row>
    <row r="27" spans="2:33" x14ac:dyDescent="0.25">
      <c r="B27" s="236" t="s">
        <v>20</v>
      </c>
      <c r="C27" s="49" t="s">
        <v>50</v>
      </c>
      <c r="D27" s="137">
        <v>0</v>
      </c>
      <c r="E27" s="137">
        <v>2</v>
      </c>
      <c r="F27" s="138">
        <v>4.54</v>
      </c>
      <c r="G27" s="144"/>
      <c r="H27" s="49" t="s">
        <v>50</v>
      </c>
      <c r="I27" s="137">
        <v>1</v>
      </c>
      <c r="J27" s="137">
        <v>1</v>
      </c>
      <c r="K27" s="138">
        <v>4.4800000000000004</v>
      </c>
      <c r="L27" s="139"/>
      <c r="M27" s="143" t="s">
        <v>50</v>
      </c>
      <c r="N27" s="137">
        <v>1</v>
      </c>
      <c r="O27" s="137">
        <v>0</v>
      </c>
      <c r="P27" s="138">
        <v>5.64</v>
      </c>
      <c r="Q27" s="144"/>
      <c r="R27" s="49" t="s">
        <v>50</v>
      </c>
      <c r="S27" s="137">
        <v>1</v>
      </c>
      <c r="T27" s="137">
        <v>3</v>
      </c>
      <c r="U27" s="138">
        <v>7.08</v>
      </c>
      <c r="V27" s="134" t="s">
        <v>76</v>
      </c>
      <c r="W27" s="243"/>
      <c r="X27" s="149"/>
      <c r="Y27" s="149"/>
      <c r="Z27" s="138"/>
      <c r="AA27" s="139"/>
      <c r="AB27" s="26">
        <f t="shared" si="2"/>
        <v>4</v>
      </c>
      <c r="AC27" s="27">
        <f t="shared" si="3"/>
        <v>3</v>
      </c>
      <c r="AD27" s="27">
        <f t="shared" si="4"/>
        <v>6</v>
      </c>
      <c r="AE27" s="27">
        <f t="shared" si="5"/>
        <v>9</v>
      </c>
      <c r="AF27" s="27">
        <f t="shared" si="6"/>
        <v>1</v>
      </c>
      <c r="AG27" s="28">
        <f t="shared" si="7"/>
        <v>5.4350000000000005</v>
      </c>
    </row>
    <row r="28" spans="2:33" x14ac:dyDescent="0.25">
      <c r="B28" s="237" t="s">
        <v>82</v>
      </c>
      <c r="C28" s="9"/>
      <c r="D28" s="159"/>
      <c r="E28" s="159"/>
      <c r="F28" s="4"/>
      <c r="G28" s="37"/>
      <c r="H28" s="9"/>
      <c r="I28" s="159"/>
      <c r="J28" s="159"/>
      <c r="K28" s="4"/>
      <c r="L28" s="10"/>
      <c r="M28" s="23"/>
      <c r="N28" s="159"/>
      <c r="O28" s="159"/>
      <c r="P28" s="4"/>
      <c r="Q28" s="37"/>
      <c r="R28" s="9"/>
      <c r="S28" s="159"/>
      <c r="T28" s="159"/>
      <c r="U28" s="4"/>
      <c r="V28" s="10"/>
      <c r="W28" s="259"/>
      <c r="X28" s="3"/>
      <c r="Y28" s="3"/>
      <c r="Z28" s="4"/>
      <c r="AA28" s="10"/>
      <c r="AB28" s="26">
        <f t="shared" si="2"/>
        <v>0</v>
      </c>
      <c r="AC28" s="27">
        <f t="shared" si="3"/>
        <v>0</v>
      </c>
      <c r="AD28" s="27">
        <f t="shared" si="4"/>
        <v>0</v>
      </c>
      <c r="AE28" s="27">
        <f t="shared" si="5"/>
        <v>0</v>
      </c>
      <c r="AF28" s="27">
        <f t="shared" si="6"/>
        <v>0</v>
      </c>
      <c r="AG28" s="28" t="str">
        <f t="shared" si="7"/>
        <v>-</v>
      </c>
    </row>
    <row r="29" spans="2:33" x14ac:dyDescent="0.25">
      <c r="B29" s="236" t="s">
        <v>21</v>
      </c>
      <c r="C29" s="49"/>
      <c r="D29" s="137"/>
      <c r="E29" s="137"/>
      <c r="F29" s="138"/>
      <c r="G29" s="144"/>
      <c r="H29" s="49"/>
      <c r="I29" s="137"/>
      <c r="J29" s="137"/>
      <c r="K29" s="138"/>
      <c r="L29" s="139"/>
      <c r="M29" s="143"/>
      <c r="N29" s="137"/>
      <c r="O29" s="137"/>
      <c r="P29" s="138"/>
      <c r="Q29" s="144"/>
      <c r="R29" s="49"/>
      <c r="S29" s="137"/>
      <c r="T29" s="137"/>
      <c r="U29" s="138"/>
      <c r="V29" s="139"/>
      <c r="W29" s="243"/>
      <c r="X29" s="149"/>
      <c r="Y29" s="149"/>
      <c r="Z29" s="138"/>
      <c r="AA29" s="139"/>
      <c r="AB29" s="26">
        <f t="shared" si="2"/>
        <v>0</v>
      </c>
      <c r="AC29" s="27">
        <f t="shared" si="3"/>
        <v>0</v>
      </c>
      <c r="AD29" s="27">
        <f t="shared" si="4"/>
        <v>0</v>
      </c>
      <c r="AE29" s="27">
        <f t="shared" si="5"/>
        <v>0</v>
      </c>
      <c r="AF29" s="27">
        <f t="shared" si="6"/>
        <v>0</v>
      </c>
      <c r="AG29" s="28" t="str">
        <f t="shared" si="7"/>
        <v>-</v>
      </c>
    </row>
    <row r="30" spans="2:33" x14ac:dyDescent="0.25">
      <c r="B30" s="236" t="s">
        <v>22</v>
      </c>
      <c r="C30" s="49" t="s">
        <v>50</v>
      </c>
      <c r="D30" s="137">
        <v>3</v>
      </c>
      <c r="E30" s="137">
        <v>0</v>
      </c>
      <c r="F30" s="138">
        <v>6.2</v>
      </c>
      <c r="G30" s="144"/>
      <c r="H30" s="49" t="s">
        <v>50</v>
      </c>
      <c r="I30" s="137">
        <v>3</v>
      </c>
      <c r="J30" s="137">
        <v>0</v>
      </c>
      <c r="K30" s="138">
        <v>6.44</v>
      </c>
      <c r="L30" s="247" t="s">
        <v>76</v>
      </c>
      <c r="M30" s="143" t="s">
        <v>50</v>
      </c>
      <c r="N30" s="137">
        <v>1</v>
      </c>
      <c r="O30" s="137">
        <v>1</v>
      </c>
      <c r="P30" s="138">
        <v>4.72</v>
      </c>
      <c r="Q30" s="144"/>
      <c r="R30" s="49" t="s">
        <v>50</v>
      </c>
      <c r="S30" s="137">
        <v>0</v>
      </c>
      <c r="T30" s="137">
        <v>1</v>
      </c>
      <c r="U30" s="138">
        <v>4.24</v>
      </c>
      <c r="V30" s="139"/>
      <c r="W30" s="243"/>
      <c r="X30" s="149"/>
      <c r="Y30" s="149"/>
      <c r="Z30" s="138"/>
      <c r="AA30" s="139"/>
      <c r="AB30" s="26">
        <f t="shared" si="2"/>
        <v>4</v>
      </c>
      <c r="AC30" s="27">
        <f t="shared" si="3"/>
        <v>7</v>
      </c>
      <c r="AD30" s="27">
        <f t="shared" si="4"/>
        <v>2</v>
      </c>
      <c r="AE30" s="27">
        <f t="shared" si="5"/>
        <v>9</v>
      </c>
      <c r="AF30" s="27">
        <f t="shared" si="6"/>
        <v>1</v>
      </c>
      <c r="AG30" s="28">
        <f t="shared" si="7"/>
        <v>5.4</v>
      </c>
    </row>
    <row r="31" spans="2:33" x14ac:dyDescent="0.25">
      <c r="B31" s="236" t="s">
        <v>23</v>
      </c>
      <c r="C31" s="49" t="s">
        <v>50</v>
      </c>
      <c r="D31" s="137">
        <v>1</v>
      </c>
      <c r="E31" s="137">
        <v>3</v>
      </c>
      <c r="F31" s="138">
        <v>5.4</v>
      </c>
      <c r="G31" s="240" t="s">
        <v>76</v>
      </c>
      <c r="H31" s="49" t="s">
        <v>50</v>
      </c>
      <c r="I31" s="137">
        <v>4</v>
      </c>
      <c r="J31" s="137">
        <v>3</v>
      </c>
      <c r="K31" s="138">
        <v>7</v>
      </c>
      <c r="L31" s="247" t="s">
        <v>76</v>
      </c>
      <c r="M31" s="143" t="s">
        <v>50</v>
      </c>
      <c r="N31" s="137">
        <v>2</v>
      </c>
      <c r="O31" s="137">
        <v>1</v>
      </c>
      <c r="P31" s="138">
        <v>6.28</v>
      </c>
      <c r="Q31" s="144"/>
      <c r="R31" s="49" t="s">
        <v>50</v>
      </c>
      <c r="S31" s="137">
        <v>4</v>
      </c>
      <c r="T31" s="137">
        <v>3</v>
      </c>
      <c r="U31" s="138">
        <v>7.38</v>
      </c>
      <c r="V31" s="134" t="s">
        <v>76</v>
      </c>
      <c r="W31" s="243"/>
      <c r="X31" s="149"/>
      <c r="Y31" s="149"/>
      <c r="Z31" s="138"/>
      <c r="AA31" s="139"/>
      <c r="AB31" s="26">
        <f t="shared" si="2"/>
        <v>4</v>
      </c>
      <c r="AC31" s="27">
        <f t="shared" si="3"/>
        <v>11</v>
      </c>
      <c r="AD31" s="27">
        <f t="shared" si="4"/>
        <v>10</v>
      </c>
      <c r="AE31" s="27">
        <f t="shared" si="5"/>
        <v>21</v>
      </c>
      <c r="AF31" s="27">
        <f t="shared" si="6"/>
        <v>3</v>
      </c>
      <c r="AG31" s="28">
        <f t="shared" si="7"/>
        <v>6.5149999999999997</v>
      </c>
    </row>
    <row r="32" spans="2:33" x14ac:dyDescent="0.25">
      <c r="B32" s="237" t="s">
        <v>84</v>
      </c>
      <c r="C32" s="9"/>
      <c r="D32" s="159"/>
      <c r="E32" s="159"/>
      <c r="F32" s="4"/>
      <c r="G32" s="37"/>
      <c r="H32" s="9"/>
      <c r="I32" s="159"/>
      <c r="J32" s="159"/>
      <c r="K32" s="4"/>
      <c r="L32" s="10"/>
      <c r="M32" s="23"/>
      <c r="N32" s="159"/>
      <c r="O32" s="159"/>
      <c r="P32" s="4"/>
      <c r="Q32" s="37"/>
      <c r="R32" s="9"/>
      <c r="S32" s="159"/>
      <c r="T32" s="159"/>
      <c r="U32" s="4"/>
      <c r="V32" s="10"/>
      <c r="W32" s="259"/>
      <c r="X32" s="3"/>
      <c r="Y32" s="3"/>
      <c r="Z32" s="4"/>
      <c r="AA32" s="10"/>
      <c r="AB32" s="26">
        <f t="shared" si="2"/>
        <v>0</v>
      </c>
      <c r="AC32" s="27">
        <f t="shared" si="3"/>
        <v>0</v>
      </c>
      <c r="AD32" s="27">
        <f t="shared" si="4"/>
        <v>0</v>
      </c>
      <c r="AE32" s="27">
        <f t="shared" si="5"/>
        <v>0</v>
      </c>
      <c r="AF32" s="27">
        <f t="shared" si="6"/>
        <v>0</v>
      </c>
      <c r="AG32" s="28" t="str">
        <f t="shared" si="7"/>
        <v>-</v>
      </c>
    </row>
    <row r="33" spans="2:33" x14ac:dyDescent="0.25">
      <c r="B33" s="236" t="s">
        <v>24</v>
      </c>
      <c r="C33" s="49"/>
      <c r="D33" s="137"/>
      <c r="E33" s="137"/>
      <c r="F33" s="138"/>
      <c r="G33" s="144"/>
      <c r="H33" s="49"/>
      <c r="I33" s="137"/>
      <c r="J33" s="137"/>
      <c r="K33" s="138"/>
      <c r="L33" s="139"/>
      <c r="M33" s="143"/>
      <c r="N33" s="137"/>
      <c r="O33" s="137"/>
      <c r="P33" s="138"/>
      <c r="Q33" s="144"/>
      <c r="R33" s="49"/>
      <c r="S33" s="137"/>
      <c r="T33" s="137"/>
      <c r="U33" s="138"/>
      <c r="V33" s="139"/>
      <c r="W33" s="243"/>
      <c r="X33" s="149"/>
      <c r="Y33" s="149"/>
      <c r="Z33" s="138"/>
      <c r="AA33" s="139"/>
      <c r="AB33" s="26">
        <f t="shared" si="2"/>
        <v>0</v>
      </c>
      <c r="AC33" s="27">
        <f t="shared" si="3"/>
        <v>0</v>
      </c>
      <c r="AD33" s="27">
        <f t="shared" si="4"/>
        <v>0</v>
      </c>
      <c r="AE33" s="27">
        <f t="shared" si="5"/>
        <v>0</v>
      </c>
      <c r="AF33" s="27">
        <f t="shared" si="6"/>
        <v>0</v>
      </c>
      <c r="AG33" s="28" t="str">
        <f t="shared" si="7"/>
        <v>-</v>
      </c>
    </row>
    <row r="34" spans="2:33" x14ac:dyDescent="0.25">
      <c r="B34" s="236" t="s">
        <v>25</v>
      </c>
      <c r="C34" s="49"/>
      <c r="D34" s="137"/>
      <c r="E34" s="137"/>
      <c r="F34" s="138"/>
      <c r="G34" s="144"/>
      <c r="H34" s="49" t="s">
        <v>50</v>
      </c>
      <c r="I34" s="137">
        <v>1</v>
      </c>
      <c r="J34" s="137">
        <v>0</v>
      </c>
      <c r="K34" s="138">
        <v>5.62</v>
      </c>
      <c r="L34" s="139"/>
      <c r="M34" s="143" t="s">
        <v>50</v>
      </c>
      <c r="N34" s="137">
        <v>1</v>
      </c>
      <c r="O34" s="137">
        <v>0</v>
      </c>
      <c r="P34" s="138">
        <v>6.08</v>
      </c>
      <c r="Q34" s="252" t="s">
        <v>76</v>
      </c>
      <c r="R34" s="49" t="s">
        <v>50</v>
      </c>
      <c r="S34" s="137">
        <v>1</v>
      </c>
      <c r="T34" s="137">
        <v>2</v>
      </c>
      <c r="U34" s="138">
        <v>7.08</v>
      </c>
      <c r="V34" s="134" t="s">
        <v>76</v>
      </c>
      <c r="W34" s="243"/>
      <c r="X34" s="149"/>
      <c r="Y34" s="149"/>
      <c r="Z34" s="138"/>
      <c r="AA34" s="139"/>
      <c r="AB34" s="26">
        <f t="shared" si="2"/>
        <v>3</v>
      </c>
      <c r="AC34" s="27">
        <f t="shared" si="3"/>
        <v>3</v>
      </c>
      <c r="AD34" s="27">
        <f t="shared" si="4"/>
        <v>2</v>
      </c>
      <c r="AE34" s="27">
        <f t="shared" si="5"/>
        <v>5</v>
      </c>
      <c r="AF34" s="27">
        <f t="shared" si="6"/>
        <v>2</v>
      </c>
      <c r="AG34" s="28">
        <f t="shared" si="7"/>
        <v>6.2600000000000007</v>
      </c>
    </row>
    <row r="35" spans="2:33" x14ac:dyDescent="0.25">
      <c r="B35" s="236" t="s">
        <v>26</v>
      </c>
      <c r="C35" s="49" t="s">
        <v>50</v>
      </c>
      <c r="D35" s="137">
        <v>2</v>
      </c>
      <c r="E35" s="137">
        <v>0</v>
      </c>
      <c r="F35" s="138">
        <v>5.4</v>
      </c>
      <c r="G35" s="144"/>
      <c r="H35" s="49" t="s">
        <v>50</v>
      </c>
      <c r="I35" s="137">
        <v>3</v>
      </c>
      <c r="J35" s="137">
        <v>0</v>
      </c>
      <c r="K35" s="138">
        <v>6</v>
      </c>
      <c r="L35" s="139"/>
      <c r="M35" s="143" t="s">
        <v>50</v>
      </c>
      <c r="N35" s="137">
        <v>2</v>
      </c>
      <c r="O35" s="137">
        <v>3</v>
      </c>
      <c r="P35" s="138">
        <v>6.78</v>
      </c>
      <c r="Q35" s="252" t="s">
        <v>76</v>
      </c>
      <c r="R35" s="49" t="s">
        <v>50</v>
      </c>
      <c r="S35" s="137">
        <v>2</v>
      </c>
      <c r="T35" s="137">
        <v>1</v>
      </c>
      <c r="U35" s="138">
        <v>5.54</v>
      </c>
      <c r="V35" s="139"/>
      <c r="W35" s="243"/>
      <c r="X35" s="149"/>
      <c r="Y35" s="149"/>
      <c r="Z35" s="138"/>
      <c r="AA35" s="139"/>
      <c r="AB35" s="26">
        <f t="shared" si="2"/>
        <v>4</v>
      </c>
      <c r="AC35" s="27">
        <f t="shared" si="3"/>
        <v>9</v>
      </c>
      <c r="AD35" s="27">
        <f t="shared" si="4"/>
        <v>4</v>
      </c>
      <c r="AE35" s="27">
        <f t="shared" si="5"/>
        <v>13</v>
      </c>
      <c r="AF35" s="27">
        <f t="shared" si="6"/>
        <v>1</v>
      </c>
      <c r="AG35" s="28">
        <f t="shared" si="7"/>
        <v>5.93</v>
      </c>
    </row>
    <row r="36" spans="2:33" x14ac:dyDescent="0.25">
      <c r="B36" s="236" t="s">
        <v>27</v>
      </c>
      <c r="C36" s="49" t="s">
        <v>50</v>
      </c>
      <c r="D36" s="137">
        <v>0</v>
      </c>
      <c r="E36" s="137">
        <v>2</v>
      </c>
      <c r="F36" s="138">
        <v>4.8600000000000003</v>
      </c>
      <c r="G36" s="144"/>
      <c r="H36" s="49" t="s">
        <v>50</v>
      </c>
      <c r="I36" s="137">
        <v>0</v>
      </c>
      <c r="J36" s="137">
        <v>4</v>
      </c>
      <c r="K36" s="138">
        <v>4.88</v>
      </c>
      <c r="L36" s="139"/>
      <c r="M36" s="143" t="s">
        <v>50</v>
      </c>
      <c r="N36" s="137">
        <v>0</v>
      </c>
      <c r="O36" s="137">
        <v>1</v>
      </c>
      <c r="P36" s="138">
        <v>5.74</v>
      </c>
      <c r="Q36" s="252" t="s">
        <v>76</v>
      </c>
      <c r="R36" s="49" t="s">
        <v>50</v>
      </c>
      <c r="S36" s="137">
        <v>0</v>
      </c>
      <c r="T36" s="137">
        <v>0</v>
      </c>
      <c r="U36" s="138">
        <v>5</v>
      </c>
      <c r="V36" s="139"/>
      <c r="W36" s="243"/>
      <c r="X36" s="149"/>
      <c r="Y36" s="149"/>
      <c r="Z36" s="138"/>
      <c r="AA36" s="139"/>
      <c r="AB36" s="26">
        <f t="shared" si="2"/>
        <v>4</v>
      </c>
      <c r="AC36" s="27">
        <f t="shared" si="3"/>
        <v>0</v>
      </c>
      <c r="AD36" s="27">
        <f t="shared" si="4"/>
        <v>7</v>
      </c>
      <c r="AE36" s="27">
        <f t="shared" si="5"/>
        <v>7</v>
      </c>
      <c r="AF36" s="27">
        <f t="shared" si="6"/>
        <v>1</v>
      </c>
      <c r="AG36" s="28">
        <f t="shared" si="7"/>
        <v>5.12</v>
      </c>
    </row>
    <row r="37" spans="2:33" x14ac:dyDescent="0.25">
      <c r="B37" s="236" t="s">
        <v>28</v>
      </c>
      <c r="C37" s="49"/>
      <c r="D37" s="137"/>
      <c r="E37" s="137"/>
      <c r="F37" s="138"/>
      <c r="G37" s="144"/>
      <c r="H37" s="49"/>
      <c r="I37" s="137"/>
      <c r="J37" s="137"/>
      <c r="K37" s="138"/>
      <c r="L37" s="139"/>
      <c r="M37" s="143"/>
      <c r="N37" s="137"/>
      <c r="O37" s="137"/>
      <c r="P37" s="138"/>
      <c r="Q37" s="144"/>
      <c r="R37" s="49"/>
      <c r="S37" s="137"/>
      <c r="T37" s="137"/>
      <c r="U37" s="138"/>
      <c r="V37" s="139"/>
      <c r="W37" s="243"/>
      <c r="X37" s="149"/>
      <c r="Y37" s="149"/>
      <c r="Z37" s="138"/>
      <c r="AA37" s="139"/>
      <c r="AB37" s="26">
        <f t="shared" si="2"/>
        <v>0</v>
      </c>
      <c r="AC37" s="27">
        <f t="shared" si="3"/>
        <v>0</v>
      </c>
      <c r="AD37" s="27">
        <f t="shared" si="4"/>
        <v>0</v>
      </c>
      <c r="AE37" s="27">
        <f t="shared" si="5"/>
        <v>0</v>
      </c>
      <c r="AF37" s="27">
        <f t="shared" si="6"/>
        <v>0</v>
      </c>
      <c r="AG37" s="28" t="str">
        <f t="shared" si="7"/>
        <v>-</v>
      </c>
    </row>
    <row r="38" spans="2:33" x14ac:dyDescent="0.25">
      <c r="B38" s="236" t="s">
        <v>77</v>
      </c>
      <c r="C38" s="49"/>
      <c r="D38" s="137"/>
      <c r="E38" s="137"/>
      <c r="F38" s="138"/>
      <c r="G38" s="144"/>
      <c r="H38" s="49"/>
      <c r="I38" s="137"/>
      <c r="J38" s="137"/>
      <c r="K38" s="138"/>
      <c r="L38" s="139"/>
      <c r="M38" s="143" t="s">
        <v>50</v>
      </c>
      <c r="N38" s="137">
        <v>3</v>
      </c>
      <c r="O38" s="137">
        <v>1</v>
      </c>
      <c r="P38" s="138">
        <v>5.86</v>
      </c>
      <c r="Q38" s="144"/>
      <c r="R38" s="49" t="s">
        <v>50</v>
      </c>
      <c r="S38" s="137">
        <v>0</v>
      </c>
      <c r="T38" s="137">
        <v>0</v>
      </c>
      <c r="U38" s="138">
        <v>3.36</v>
      </c>
      <c r="V38" s="139"/>
      <c r="W38" s="243"/>
      <c r="X38" s="149"/>
      <c r="Y38" s="149"/>
      <c r="Z38" s="138"/>
      <c r="AA38" s="139"/>
      <c r="AB38" s="26">
        <f t="shared" si="2"/>
        <v>2</v>
      </c>
      <c r="AC38" s="27">
        <f t="shared" si="3"/>
        <v>3</v>
      </c>
      <c r="AD38" s="27">
        <f t="shared" si="4"/>
        <v>1</v>
      </c>
      <c r="AE38" s="27">
        <f t="shared" si="5"/>
        <v>4</v>
      </c>
      <c r="AF38" s="27">
        <f t="shared" si="6"/>
        <v>0</v>
      </c>
      <c r="AG38" s="28">
        <f t="shared" si="7"/>
        <v>4.6100000000000003</v>
      </c>
    </row>
    <row r="39" spans="2:33" x14ac:dyDescent="0.25">
      <c r="B39" s="236" t="s">
        <v>29</v>
      </c>
      <c r="C39" s="49" t="s">
        <v>50</v>
      </c>
      <c r="D39" s="137">
        <v>0</v>
      </c>
      <c r="E39" s="137">
        <v>0</v>
      </c>
      <c r="F39" s="138">
        <v>4.5999999999999996</v>
      </c>
      <c r="G39" s="144"/>
      <c r="H39" s="49"/>
      <c r="I39" s="137"/>
      <c r="J39" s="137"/>
      <c r="K39" s="138"/>
      <c r="L39" s="139"/>
      <c r="M39" s="143" t="s">
        <v>50</v>
      </c>
      <c r="N39" s="137">
        <v>0</v>
      </c>
      <c r="O39" s="137">
        <v>0</v>
      </c>
      <c r="P39" s="138">
        <v>5.5</v>
      </c>
      <c r="Q39" s="252" t="s">
        <v>76</v>
      </c>
      <c r="R39" s="49" t="s">
        <v>50</v>
      </c>
      <c r="S39" s="137">
        <v>0</v>
      </c>
      <c r="T39" s="137">
        <v>0</v>
      </c>
      <c r="U39" s="138">
        <v>3.62</v>
      </c>
      <c r="V39" s="139"/>
      <c r="W39" s="243"/>
      <c r="X39" s="149"/>
      <c r="Y39" s="149"/>
      <c r="Z39" s="138"/>
      <c r="AA39" s="139"/>
      <c r="AB39" s="26">
        <f t="shared" si="2"/>
        <v>3</v>
      </c>
      <c r="AC39" s="27">
        <f t="shared" si="3"/>
        <v>0</v>
      </c>
      <c r="AD39" s="27">
        <f t="shared" si="4"/>
        <v>0</v>
      </c>
      <c r="AE39" s="27">
        <f t="shared" si="5"/>
        <v>0</v>
      </c>
      <c r="AF39" s="27">
        <f t="shared" si="6"/>
        <v>1</v>
      </c>
      <c r="AG39" s="28">
        <f t="shared" si="7"/>
        <v>4.5733333333333333</v>
      </c>
    </row>
    <row r="40" spans="2:33" x14ac:dyDescent="0.25">
      <c r="B40" s="236" t="s">
        <v>30</v>
      </c>
      <c r="C40" s="49" t="s">
        <v>50</v>
      </c>
      <c r="D40" s="137">
        <v>1</v>
      </c>
      <c r="E40" s="137">
        <v>1</v>
      </c>
      <c r="F40" s="138">
        <v>4.82</v>
      </c>
      <c r="G40" s="144"/>
      <c r="H40" s="49" t="s">
        <v>50</v>
      </c>
      <c r="I40" s="137">
        <v>1</v>
      </c>
      <c r="J40" s="137">
        <v>1</v>
      </c>
      <c r="K40" s="138">
        <v>5.62</v>
      </c>
      <c r="L40" s="139"/>
      <c r="M40" s="143" t="s">
        <v>50</v>
      </c>
      <c r="N40" s="137">
        <v>0</v>
      </c>
      <c r="O40" s="137">
        <v>3</v>
      </c>
      <c r="P40" s="138">
        <v>4.1399999999999997</v>
      </c>
      <c r="Q40" s="144"/>
      <c r="R40" s="49" t="s">
        <v>50</v>
      </c>
      <c r="S40" s="137">
        <v>2</v>
      </c>
      <c r="T40" s="137">
        <v>2</v>
      </c>
      <c r="U40" s="138">
        <v>5</v>
      </c>
      <c r="V40" s="139"/>
      <c r="W40" s="243"/>
      <c r="X40" s="149"/>
      <c r="Y40" s="149"/>
      <c r="Z40" s="138"/>
      <c r="AA40" s="139"/>
      <c r="AB40" s="26">
        <f t="shared" si="2"/>
        <v>4</v>
      </c>
      <c r="AC40" s="27">
        <f t="shared" si="3"/>
        <v>4</v>
      </c>
      <c r="AD40" s="27">
        <f t="shared" si="4"/>
        <v>7</v>
      </c>
      <c r="AE40" s="27">
        <f t="shared" si="5"/>
        <v>11</v>
      </c>
      <c r="AF40" s="27">
        <f t="shared" si="6"/>
        <v>0</v>
      </c>
      <c r="AG40" s="28">
        <f t="shared" si="7"/>
        <v>4.8950000000000005</v>
      </c>
    </row>
    <row r="41" spans="2:33" x14ac:dyDescent="0.25">
      <c r="B41" s="236" t="s">
        <v>31</v>
      </c>
      <c r="C41" s="49"/>
      <c r="D41" s="137"/>
      <c r="E41" s="137"/>
      <c r="F41" s="138"/>
      <c r="G41" s="144"/>
      <c r="H41" s="49"/>
      <c r="I41" s="137"/>
      <c r="J41" s="137"/>
      <c r="K41" s="138"/>
      <c r="L41" s="139"/>
      <c r="M41" s="143" t="s">
        <v>50</v>
      </c>
      <c r="N41" s="137">
        <v>0</v>
      </c>
      <c r="O41" s="137">
        <v>1</v>
      </c>
      <c r="P41" s="138">
        <v>5.58</v>
      </c>
      <c r="Q41" s="144"/>
      <c r="R41" s="49" t="s">
        <v>50</v>
      </c>
      <c r="S41" s="137">
        <v>1</v>
      </c>
      <c r="T41" s="137">
        <v>1</v>
      </c>
      <c r="U41" s="138">
        <v>6.92</v>
      </c>
      <c r="V41" s="134" t="s">
        <v>76</v>
      </c>
      <c r="W41" s="243"/>
      <c r="X41" s="149"/>
      <c r="Y41" s="149"/>
      <c r="Z41" s="138"/>
      <c r="AA41" s="139"/>
      <c r="AB41" s="26">
        <f t="shared" si="2"/>
        <v>2</v>
      </c>
      <c r="AC41" s="27">
        <f t="shared" si="3"/>
        <v>1</v>
      </c>
      <c r="AD41" s="27">
        <f t="shared" si="4"/>
        <v>2</v>
      </c>
      <c r="AE41" s="27">
        <f t="shared" si="5"/>
        <v>3</v>
      </c>
      <c r="AF41" s="27">
        <f t="shared" si="6"/>
        <v>1</v>
      </c>
      <c r="AG41" s="28">
        <f t="shared" si="7"/>
        <v>6.25</v>
      </c>
    </row>
    <row r="42" spans="2:33" x14ac:dyDescent="0.25">
      <c r="B42" s="236" t="s">
        <v>32</v>
      </c>
      <c r="C42" s="49"/>
      <c r="D42" s="137"/>
      <c r="E42" s="137"/>
      <c r="F42" s="138"/>
      <c r="G42" s="144"/>
      <c r="H42" s="49"/>
      <c r="I42" s="137"/>
      <c r="J42" s="137"/>
      <c r="K42" s="138"/>
      <c r="L42" s="139"/>
      <c r="M42" s="143"/>
      <c r="N42" s="137"/>
      <c r="O42" s="137"/>
      <c r="P42" s="138"/>
      <c r="Q42" s="144"/>
      <c r="R42" s="49"/>
      <c r="S42" s="137"/>
      <c r="T42" s="137"/>
      <c r="U42" s="138"/>
      <c r="V42" s="139"/>
      <c r="W42" s="243"/>
      <c r="X42" s="149"/>
      <c r="Y42" s="149"/>
      <c r="Z42" s="138"/>
      <c r="AA42" s="139"/>
      <c r="AB42" s="26">
        <f t="shared" si="2"/>
        <v>0</v>
      </c>
      <c r="AC42" s="27">
        <f t="shared" si="3"/>
        <v>0</v>
      </c>
      <c r="AD42" s="27">
        <f t="shared" si="4"/>
        <v>0</v>
      </c>
      <c r="AE42" s="27">
        <f t="shared" si="5"/>
        <v>0</v>
      </c>
      <c r="AF42" s="27">
        <f t="shared" si="6"/>
        <v>0</v>
      </c>
      <c r="AG42" s="28" t="str">
        <f t="shared" si="7"/>
        <v>-</v>
      </c>
    </row>
    <row r="43" spans="2:33" x14ac:dyDescent="0.25">
      <c r="B43" s="236" t="s">
        <v>33</v>
      </c>
      <c r="C43" s="49"/>
      <c r="D43" s="137"/>
      <c r="E43" s="137"/>
      <c r="F43" s="138"/>
      <c r="G43" s="144"/>
      <c r="H43" s="49"/>
      <c r="I43" s="137"/>
      <c r="J43" s="137"/>
      <c r="K43" s="138"/>
      <c r="L43" s="139"/>
      <c r="M43" s="143"/>
      <c r="N43" s="137"/>
      <c r="O43" s="137"/>
      <c r="P43" s="138"/>
      <c r="Q43" s="144"/>
      <c r="R43" s="49"/>
      <c r="S43" s="137"/>
      <c r="T43" s="137"/>
      <c r="U43" s="138"/>
      <c r="V43" s="139"/>
      <c r="W43" s="243"/>
      <c r="X43" s="149"/>
      <c r="Y43" s="149"/>
      <c r="Z43" s="138"/>
      <c r="AA43" s="139"/>
      <c r="AB43" s="26">
        <f t="shared" si="2"/>
        <v>0</v>
      </c>
      <c r="AC43" s="27">
        <f t="shared" si="3"/>
        <v>0</v>
      </c>
      <c r="AD43" s="27">
        <f t="shared" si="4"/>
        <v>0</v>
      </c>
      <c r="AE43" s="27">
        <f t="shared" si="5"/>
        <v>0</v>
      </c>
      <c r="AF43" s="27">
        <f t="shared" si="6"/>
        <v>0</v>
      </c>
      <c r="AG43" s="28" t="str">
        <f t="shared" si="7"/>
        <v>-</v>
      </c>
    </row>
    <row r="44" spans="2:33" x14ac:dyDescent="0.25">
      <c r="B44" s="236" t="s">
        <v>34</v>
      </c>
      <c r="C44" s="49" t="s">
        <v>50</v>
      </c>
      <c r="D44" s="137">
        <v>1</v>
      </c>
      <c r="E44" s="137">
        <v>0</v>
      </c>
      <c r="F44" s="138">
        <v>5.4</v>
      </c>
      <c r="G44" s="240" t="s">
        <v>76</v>
      </c>
      <c r="H44" s="49"/>
      <c r="I44" s="137"/>
      <c r="J44" s="137"/>
      <c r="K44" s="138"/>
      <c r="L44" s="139"/>
      <c r="M44" s="143" t="s">
        <v>50</v>
      </c>
      <c r="N44" s="137">
        <v>0</v>
      </c>
      <c r="O44" s="137">
        <v>0</v>
      </c>
      <c r="P44" s="138">
        <v>4.78</v>
      </c>
      <c r="Q44" s="144"/>
      <c r="R44" s="49"/>
      <c r="S44" s="137"/>
      <c r="T44" s="137"/>
      <c r="U44" s="138"/>
      <c r="V44" s="139"/>
      <c r="W44" s="243"/>
      <c r="X44" s="149"/>
      <c r="Y44" s="149"/>
      <c r="Z44" s="138"/>
      <c r="AA44" s="139"/>
      <c r="AB44" s="26">
        <f t="shared" si="2"/>
        <v>2</v>
      </c>
      <c r="AC44" s="27">
        <f t="shared" si="3"/>
        <v>1</v>
      </c>
      <c r="AD44" s="27">
        <f t="shared" si="4"/>
        <v>0</v>
      </c>
      <c r="AE44" s="27">
        <f t="shared" si="5"/>
        <v>1</v>
      </c>
      <c r="AF44" s="27">
        <f t="shared" si="6"/>
        <v>1</v>
      </c>
      <c r="AG44" s="28">
        <f t="shared" si="7"/>
        <v>5.09</v>
      </c>
    </row>
    <row r="45" spans="2:33" x14ac:dyDescent="0.25">
      <c r="B45" s="236" t="s">
        <v>35</v>
      </c>
      <c r="C45" s="49" t="s">
        <v>50</v>
      </c>
      <c r="D45" s="137">
        <v>0</v>
      </c>
      <c r="E45" s="137">
        <v>0</v>
      </c>
      <c r="F45" s="138">
        <v>4.54</v>
      </c>
      <c r="G45" s="240" t="s">
        <v>76</v>
      </c>
      <c r="H45" s="49"/>
      <c r="I45" s="137"/>
      <c r="J45" s="137"/>
      <c r="K45" s="138"/>
      <c r="L45" s="139"/>
      <c r="M45" s="143"/>
      <c r="N45" s="137"/>
      <c r="O45" s="137"/>
      <c r="P45" s="138"/>
      <c r="Q45" s="144"/>
      <c r="R45" s="49" t="s">
        <v>50</v>
      </c>
      <c r="S45" s="137">
        <v>0</v>
      </c>
      <c r="T45" s="137">
        <v>0</v>
      </c>
      <c r="U45" s="138">
        <v>3.72</v>
      </c>
      <c r="V45" s="139"/>
      <c r="W45" s="243"/>
      <c r="X45" s="149"/>
      <c r="Y45" s="149"/>
      <c r="Z45" s="138"/>
      <c r="AA45" s="139"/>
      <c r="AB45" s="26">
        <f t="shared" si="2"/>
        <v>2</v>
      </c>
      <c r="AC45" s="27">
        <f t="shared" si="3"/>
        <v>0</v>
      </c>
      <c r="AD45" s="27">
        <f t="shared" si="4"/>
        <v>0</v>
      </c>
      <c r="AE45" s="27">
        <f t="shared" si="5"/>
        <v>0</v>
      </c>
      <c r="AF45" s="27">
        <f t="shared" si="6"/>
        <v>1</v>
      </c>
      <c r="AG45" s="28">
        <f t="shared" si="7"/>
        <v>4.13</v>
      </c>
    </row>
    <row r="46" spans="2:33" x14ac:dyDescent="0.25">
      <c r="B46" s="236" t="s">
        <v>36</v>
      </c>
      <c r="C46" s="49"/>
      <c r="D46" s="137"/>
      <c r="E46" s="137"/>
      <c r="F46" s="138"/>
      <c r="G46" s="144"/>
      <c r="H46" s="49"/>
      <c r="I46" s="137"/>
      <c r="J46" s="137"/>
      <c r="K46" s="138"/>
      <c r="L46" s="139"/>
      <c r="M46" s="143"/>
      <c r="N46" s="137"/>
      <c r="O46" s="137"/>
      <c r="P46" s="138"/>
      <c r="Q46" s="144"/>
      <c r="R46" s="49"/>
      <c r="S46" s="137"/>
      <c r="T46" s="137"/>
      <c r="U46" s="138"/>
      <c r="V46" s="139"/>
      <c r="W46" s="243"/>
      <c r="X46" s="149"/>
      <c r="Y46" s="149"/>
      <c r="Z46" s="138"/>
      <c r="AA46" s="139"/>
      <c r="AB46" s="26">
        <f t="shared" si="2"/>
        <v>0</v>
      </c>
      <c r="AC46" s="27">
        <f t="shared" si="3"/>
        <v>0</v>
      </c>
      <c r="AD46" s="27">
        <f t="shared" si="4"/>
        <v>0</v>
      </c>
      <c r="AE46" s="27">
        <f t="shared" si="5"/>
        <v>0</v>
      </c>
      <c r="AF46" s="27">
        <f t="shared" si="6"/>
        <v>0</v>
      </c>
      <c r="AG46" s="28" t="str">
        <f t="shared" si="7"/>
        <v>-</v>
      </c>
    </row>
    <row r="47" spans="2:33" x14ac:dyDescent="0.25">
      <c r="B47" s="236" t="s">
        <v>37</v>
      </c>
      <c r="C47" s="49" t="s">
        <v>50</v>
      </c>
      <c r="D47" s="137">
        <v>0</v>
      </c>
      <c r="E47" s="137">
        <v>0</v>
      </c>
      <c r="F47" s="138">
        <v>5.74</v>
      </c>
      <c r="G47" s="144"/>
      <c r="H47" s="49" t="s">
        <v>50</v>
      </c>
      <c r="I47" s="137">
        <v>0</v>
      </c>
      <c r="J47" s="137">
        <v>0</v>
      </c>
      <c r="K47" s="138">
        <v>5.32</v>
      </c>
      <c r="L47" s="139"/>
      <c r="M47" s="143" t="s">
        <v>50</v>
      </c>
      <c r="N47" s="137">
        <v>1</v>
      </c>
      <c r="O47" s="137">
        <v>0</v>
      </c>
      <c r="P47" s="138">
        <v>5.42</v>
      </c>
      <c r="Q47" s="144"/>
      <c r="R47" s="49" t="s">
        <v>50</v>
      </c>
      <c r="S47" s="137">
        <v>0</v>
      </c>
      <c r="T47" s="137">
        <v>0</v>
      </c>
      <c r="U47" s="138">
        <v>4.08</v>
      </c>
      <c r="V47" s="139"/>
      <c r="W47" s="243"/>
      <c r="X47" s="149"/>
      <c r="Y47" s="149"/>
      <c r="Z47" s="138"/>
      <c r="AA47" s="139"/>
      <c r="AB47" s="26">
        <f t="shared" si="2"/>
        <v>4</v>
      </c>
      <c r="AC47" s="27">
        <f t="shared" si="3"/>
        <v>1</v>
      </c>
      <c r="AD47" s="27">
        <f t="shared" si="4"/>
        <v>0</v>
      </c>
      <c r="AE47" s="27">
        <f t="shared" si="5"/>
        <v>1</v>
      </c>
      <c r="AF47" s="27">
        <f t="shared" si="6"/>
        <v>0</v>
      </c>
      <c r="AG47" s="28">
        <f t="shared" si="7"/>
        <v>5.1400000000000006</v>
      </c>
    </row>
    <row r="48" spans="2:33" x14ac:dyDescent="0.25">
      <c r="B48" s="237" t="s">
        <v>85</v>
      </c>
      <c r="C48" s="9"/>
      <c r="D48" s="159"/>
      <c r="E48" s="159"/>
      <c r="F48" s="4"/>
      <c r="G48" s="37"/>
      <c r="H48" s="9"/>
      <c r="I48" s="159"/>
      <c r="J48" s="159"/>
      <c r="K48" s="4"/>
      <c r="L48" s="10"/>
      <c r="M48" s="23"/>
      <c r="N48" s="159"/>
      <c r="O48" s="159"/>
      <c r="P48" s="4"/>
      <c r="Q48" s="37"/>
      <c r="R48" s="9"/>
      <c r="S48" s="159"/>
      <c r="T48" s="159"/>
      <c r="U48" s="4"/>
      <c r="V48" s="10"/>
      <c r="W48" s="259"/>
      <c r="X48" s="3"/>
      <c r="Y48" s="3"/>
      <c r="Z48" s="4"/>
      <c r="AA48" s="10"/>
      <c r="AB48" s="26">
        <f t="shared" si="2"/>
        <v>0</v>
      </c>
      <c r="AC48" s="27">
        <f t="shared" si="3"/>
        <v>0</v>
      </c>
      <c r="AD48" s="27">
        <f t="shared" si="4"/>
        <v>0</v>
      </c>
      <c r="AE48" s="27">
        <f t="shared" si="5"/>
        <v>0</v>
      </c>
      <c r="AF48" s="27">
        <f t="shared" si="6"/>
        <v>0</v>
      </c>
      <c r="AG48" s="28" t="str">
        <f t="shared" si="7"/>
        <v>-</v>
      </c>
    </row>
    <row r="49" spans="2:33" ht="15.75" thickBot="1" x14ac:dyDescent="0.3">
      <c r="B49" s="236" t="s">
        <v>38</v>
      </c>
      <c r="C49" s="49"/>
      <c r="D49" s="137"/>
      <c r="E49" s="137"/>
      <c r="F49" s="138"/>
      <c r="G49" s="144"/>
      <c r="H49" s="49"/>
      <c r="I49" s="137"/>
      <c r="J49" s="137"/>
      <c r="K49" s="138"/>
      <c r="L49" s="139"/>
      <c r="M49" s="143"/>
      <c r="N49" s="137"/>
      <c r="O49" s="137"/>
      <c r="P49" s="138"/>
      <c r="Q49" s="144"/>
      <c r="R49" s="49"/>
      <c r="S49" s="137"/>
      <c r="T49" s="137"/>
      <c r="U49" s="138"/>
      <c r="V49" s="139"/>
      <c r="W49" s="244"/>
      <c r="X49" s="151"/>
      <c r="Y49" s="151"/>
      <c r="Z49" s="141"/>
      <c r="AA49" s="142"/>
      <c r="AB49" s="16">
        <f t="shared" si="2"/>
        <v>0</v>
      </c>
      <c r="AC49" s="18">
        <f t="shared" si="3"/>
        <v>0</v>
      </c>
      <c r="AD49" s="18">
        <f t="shared" si="4"/>
        <v>0</v>
      </c>
      <c r="AE49" s="18">
        <f t="shared" si="5"/>
        <v>0</v>
      </c>
      <c r="AF49" s="18">
        <f t="shared" si="6"/>
        <v>0</v>
      </c>
      <c r="AG49" s="25" t="str">
        <f t="shared" si="7"/>
        <v>-</v>
      </c>
    </row>
    <row r="50" spans="2:33" ht="15.75" thickBot="1" x14ac:dyDescent="0.3">
      <c r="B50" s="236" t="s">
        <v>39</v>
      </c>
      <c r="C50" s="50"/>
      <c r="D50" s="140"/>
      <c r="E50" s="140"/>
      <c r="F50" s="141"/>
      <c r="G50" s="146"/>
      <c r="H50" s="50"/>
      <c r="I50" s="140"/>
      <c r="J50" s="140"/>
      <c r="K50" s="141"/>
      <c r="L50" s="142"/>
      <c r="M50" s="145"/>
      <c r="N50" s="140"/>
      <c r="O50" s="140"/>
      <c r="P50" s="141"/>
      <c r="Q50" s="146"/>
      <c r="R50" s="50"/>
      <c r="S50" s="140"/>
      <c r="T50" s="140"/>
      <c r="U50" s="141"/>
      <c r="V50" s="142"/>
      <c r="W50" s="244"/>
      <c r="X50" s="151"/>
      <c r="Y50" s="151"/>
      <c r="Z50" s="141"/>
      <c r="AA50" s="142"/>
      <c r="AB50" s="16">
        <f t="shared" ref="AB50" si="8">COUNTIF(C50:Z50,"P")</f>
        <v>0</v>
      </c>
      <c r="AC50" s="18">
        <f t="shared" ref="AC50" si="9">SUM(D50,I50,N50,S50,X50)</f>
        <v>0</v>
      </c>
      <c r="AD50" s="18">
        <f t="shared" ref="AD50" si="10">SUM(E50,J50,O50,T50,Y50)</f>
        <v>0</v>
      </c>
      <c r="AE50" s="18">
        <f t="shared" ref="AE50" si="11">SUM(AC50+AD50)</f>
        <v>0</v>
      </c>
      <c r="AF50" s="18">
        <f t="shared" ref="AF50" si="12">COUNTIF(G50:AA50,"F")</f>
        <v>0</v>
      </c>
      <c r="AG50" s="25" t="str">
        <f t="shared" ref="AG50" si="13">IFERROR(AVERAGE(F50,K50,P50,U50,Z50),"-")</f>
        <v>-</v>
      </c>
    </row>
    <row r="51" spans="2:33" ht="15.75" thickBot="1" x14ac:dyDescent="0.3">
      <c r="B51" s="237" t="s">
        <v>80</v>
      </c>
      <c r="C51" s="50"/>
      <c r="D51" s="140"/>
      <c r="E51" s="140"/>
      <c r="F51" s="141"/>
      <c r="G51" s="146"/>
      <c r="H51" s="50"/>
      <c r="I51" s="140"/>
      <c r="J51" s="140"/>
      <c r="K51" s="141"/>
      <c r="L51" s="142"/>
      <c r="M51" s="145"/>
      <c r="N51" s="140"/>
      <c r="O51" s="140"/>
      <c r="P51" s="141"/>
      <c r="Q51" s="146"/>
      <c r="R51" s="50"/>
      <c r="S51" s="140"/>
      <c r="T51" s="140"/>
      <c r="U51" s="141"/>
      <c r="V51" s="142"/>
      <c r="W51" s="244"/>
      <c r="X51" s="151"/>
      <c r="Y51" s="151"/>
      <c r="Z51" s="141"/>
      <c r="AA51" s="142"/>
      <c r="AB51" s="16">
        <f t="shared" ref="AB51:AB52" si="14">COUNTIF(C51:Z51,"P")</f>
        <v>0</v>
      </c>
      <c r="AC51" s="18">
        <f t="shared" ref="AC51:AC52" si="15">SUM(D51,I51,N51,S51,X51)</f>
        <v>0</v>
      </c>
      <c r="AD51" s="18">
        <f t="shared" ref="AD51:AD52" si="16">SUM(E51,J51,O51,T51,Y51)</f>
        <v>0</v>
      </c>
      <c r="AE51" s="18">
        <f t="shared" ref="AE51:AE52" si="17">SUM(AC51+AD51)</f>
        <v>0</v>
      </c>
      <c r="AF51" s="18">
        <f t="shared" ref="AF51:AF52" si="18">COUNTIF(G51:AA51,"F")</f>
        <v>0</v>
      </c>
      <c r="AG51" s="25" t="str">
        <f t="shared" ref="AG51:AG52" si="19">IFERROR(AVERAGE(F51,K51,P51,U51,Z51),"-")</f>
        <v>-</v>
      </c>
    </row>
    <row r="52" spans="2:33" ht="15.75" thickBot="1" x14ac:dyDescent="0.3">
      <c r="B52" s="238" t="s">
        <v>81</v>
      </c>
      <c r="C52" s="50"/>
      <c r="D52" s="140"/>
      <c r="E52" s="140"/>
      <c r="F52" s="141"/>
      <c r="G52" s="146"/>
      <c r="H52" s="50"/>
      <c r="I52" s="140"/>
      <c r="J52" s="140"/>
      <c r="K52" s="141"/>
      <c r="L52" s="142"/>
      <c r="M52" s="145"/>
      <c r="N52" s="140"/>
      <c r="O52" s="140"/>
      <c r="P52" s="141"/>
      <c r="Q52" s="146"/>
      <c r="R52" s="50"/>
      <c r="S52" s="140"/>
      <c r="T52" s="140"/>
      <c r="U52" s="141"/>
      <c r="V52" s="142"/>
      <c r="W52" s="244"/>
      <c r="X52" s="151"/>
      <c r="Y52" s="151"/>
      <c r="Z52" s="141"/>
      <c r="AA52" s="142"/>
      <c r="AB52" s="16">
        <f t="shared" si="14"/>
        <v>0</v>
      </c>
      <c r="AC52" s="18">
        <f t="shared" si="15"/>
        <v>0</v>
      </c>
      <c r="AD52" s="18">
        <f t="shared" si="16"/>
        <v>0</v>
      </c>
      <c r="AE52" s="18">
        <f t="shared" si="17"/>
        <v>0</v>
      </c>
      <c r="AF52" s="18">
        <f t="shared" si="18"/>
        <v>0</v>
      </c>
      <c r="AG52" s="25" t="str">
        <f t="shared" si="19"/>
        <v>-</v>
      </c>
    </row>
    <row r="53" spans="2:33" x14ac:dyDescent="0.25">
      <c r="B53" s="93"/>
      <c r="C53" s="166"/>
      <c r="D53" s="166"/>
      <c r="E53" s="166"/>
      <c r="F53" s="167"/>
      <c r="G53" s="167"/>
      <c r="H53" s="166"/>
      <c r="I53" s="166"/>
      <c r="J53" s="166"/>
      <c r="K53" s="167"/>
      <c r="L53" s="167"/>
      <c r="M53" s="166"/>
      <c r="N53" s="166"/>
      <c r="O53" s="166"/>
      <c r="P53" s="167"/>
      <c r="Q53" s="167"/>
      <c r="R53" s="166"/>
      <c r="S53" s="166"/>
      <c r="T53" s="166"/>
      <c r="U53" s="167"/>
      <c r="V53" s="167"/>
      <c r="W53" s="167"/>
      <c r="X53" s="168"/>
      <c r="Y53" s="168"/>
      <c r="Z53" s="167"/>
      <c r="AA53" s="167"/>
    </row>
    <row r="54" spans="2:33" x14ac:dyDescent="0.25">
      <c r="B54" s="93"/>
      <c r="C54" s="166"/>
      <c r="D54" s="166"/>
      <c r="E54" s="166"/>
      <c r="F54" s="167"/>
      <c r="G54" s="167"/>
      <c r="H54" s="166"/>
      <c r="I54" s="166"/>
      <c r="J54" s="166"/>
      <c r="K54" s="167"/>
      <c r="L54" s="167"/>
      <c r="M54" s="166"/>
      <c r="N54" s="166"/>
      <c r="O54" s="166"/>
      <c r="P54" s="167"/>
      <c r="Q54" s="167"/>
      <c r="R54" s="166"/>
      <c r="S54" s="166"/>
      <c r="T54" s="166"/>
      <c r="U54" s="167"/>
      <c r="V54" s="167"/>
      <c r="W54" s="167"/>
      <c r="X54" s="168"/>
      <c r="Y54" s="168"/>
      <c r="Z54" s="167"/>
      <c r="AA54" s="167"/>
    </row>
    <row r="55" spans="2:33" x14ac:dyDescent="0.25">
      <c r="B55" s="93"/>
      <c r="C55" s="166"/>
      <c r="D55" s="166"/>
      <c r="E55" s="166"/>
      <c r="F55" s="167"/>
      <c r="G55" s="167"/>
      <c r="H55" s="166"/>
      <c r="I55" s="166"/>
      <c r="J55" s="166"/>
      <c r="K55" s="167"/>
      <c r="L55" s="167"/>
      <c r="M55" s="166"/>
      <c r="N55" s="166"/>
      <c r="O55" s="166"/>
      <c r="P55" s="167"/>
      <c r="Q55" s="167"/>
      <c r="R55" s="166"/>
      <c r="S55" s="166"/>
      <c r="T55" s="166"/>
      <c r="U55" s="167"/>
      <c r="V55" s="167"/>
      <c r="W55" s="167"/>
      <c r="X55" s="168"/>
      <c r="Y55" s="168"/>
      <c r="Z55" s="167"/>
      <c r="AA55" s="167"/>
    </row>
    <row r="56" spans="2:33" x14ac:dyDescent="0.25">
      <c r="B56" s="93"/>
      <c r="C56" s="166"/>
      <c r="D56" s="166"/>
      <c r="E56" s="166"/>
      <c r="F56" s="167"/>
      <c r="G56" s="167"/>
      <c r="H56" s="166"/>
      <c r="I56" s="166"/>
      <c r="J56" s="166"/>
      <c r="K56" s="167"/>
      <c r="L56" s="167"/>
      <c r="M56" s="166"/>
      <c r="N56" s="166"/>
      <c r="O56" s="166"/>
      <c r="P56" s="167"/>
      <c r="Q56" s="167"/>
      <c r="R56" s="166"/>
      <c r="S56" s="166"/>
      <c r="T56" s="166"/>
      <c r="U56" s="167"/>
      <c r="V56" s="167"/>
      <c r="W56" s="167"/>
      <c r="X56" s="168"/>
      <c r="Y56" s="168"/>
      <c r="Z56" s="167"/>
      <c r="AA56" s="167"/>
    </row>
    <row r="57" spans="2:33" x14ac:dyDescent="0.25">
      <c r="B57" s="93"/>
      <c r="C57" s="166"/>
      <c r="D57" s="166"/>
      <c r="E57" s="166"/>
      <c r="F57" s="167"/>
      <c r="G57" s="167"/>
      <c r="H57" s="166"/>
      <c r="I57" s="166"/>
      <c r="J57" s="166"/>
      <c r="K57" s="167"/>
      <c r="L57" s="167"/>
      <c r="M57" s="166"/>
      <c r="N57" s="166"/>
      <c r="O57" s="166"/>
      <c r="P57" s="167"/>
      <c r="Q57" s="167"/>
      <c r="R57" s="166"/>
      <c r="S57" s="166"/>
      <c r="T57" s="166"/>
      <c r="U57" s="167"/>
      <c r="V57" s="167"/>
      <c r="W57" s="167"/>
      <c r="X57" s="168"/>
      <c r="Y57" s="168"/>
      <c r="Z57" s="167"/>
      <c r="AA57" s="167"/>
    </row>
  </sheetData>
  <sortState xmlns:xlrd2="http://schemas.microsoft.com/office/spreadsheetml/2017/richdata2" ref="B5:AA57">
    <sortCondition ref="B5:B57"/>
  </sortState>
  <mergeCells count="13">
    <mergeCell ref="B1:AG2"/>
    <mergeCell ref="B3:B4"/>
    <mergeCell ref="C3:G3"/>
    <mergeCell ref="H3:L3"/>
    <mergeCell ref="M3:Q3"/>
    <mergeCell ref="R3:V3"/>
    <mergeCell ref="W3:AA3"/>
    <mergeCell ref="AB3:AB4"/>
    <mergeCell ref="AC3:AC4"/>
    <mergeCell ref="AD3:AD4"/>
    <mergeCell ref="AE3:AE4"/>
    <mergeCell ref="AF3:AF4"/>
    <mergeCell ref="AG3:AG4"/>
  </mergeCells>
  <conditionalFormatting sqref="AB5:AB5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{6368ECA3-B4A6-44B8-84E8-13D2ECA63044}</x14:id>
        </ext>
      </extLst>
    </cfRule>
  </conditionalFormatting>
  <conditionalFormatting sqref="AC3:AC1048576">
    <cfRule type="top10" dxfId="66" priority="9" rank="1"/>
    <cfRule type="top10" dxfId="65" priority="10" rank="5"/>
  </conditionalFormatting>
  <conditionalFormatting sqref="AD1:AD1048576">
    <cfRule type="top10" dxfId="64" priority="3" rank="1"/>
    <cfRule type="top10" dxfId="63" priority="4" rank="5"/>
  </conditionalFormatting>
  <conditionalFormatting sqref="AE1:AF3 AE4 AE5:AF1048576">
    <cfRule type="top10" dxfId="62" priority="5" rank="1"/>
    <cfRule type="top10" dxfId="61" priority="6" rank="5"/>
  </conditionalFormatting>
  <conditionalFormatting sqref="AF5:AF52">
    <cfRule type="top10" dxfId="60" priority="1" rank="1"/>
    <cfRule type="top10" dxfId="59" priority="2" rank="3"/>
  </conditionalFormatting>
  <conditionalFormatting sqref="AG3:AG1048576">
    <cfRule type="top10" dxfId="58" priority="7" rank="1"/>
    <cfRule type="top10" dxfId="57" priority="8" rank="5"/>
  </conditionalFormatting>
  <pageMargins left="0.511811024" right="0.511811024" top="0.78740157499999996" bottom="0.78740157499999996" header="0.31496062000000002" footer="0.31496062000000002"/>
  <pageSetup paperSize="9" scale="40" orientation="landscape" horizontalDpi="4294967292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368ECA3-B4A6-44B8-84E8-13D2ECA6304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AB5:AB52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BA279-650B-4643-878A-0E67400F88E3}">
  <sheetPr>
    <pageSetUpPr fitToPage="1"/>
  </sheetPr>
  <dimension ref="A1:AO57"/>
  <sheetViews>
    <sheetView showGridLines="0" topLeftCell="L1" zoomScale="80" zoomScaleNormal="80" workbookViewId="0">
      <pane ySplit="4" topLeftCell="A5" activePane="bottomLeft" state="frozen"/>
      <selection activeCell="B47" sqref="B47"/>
      <selection pane="bottomLeft" activeCell="B47" sqref="B47"/>
    </sheetView>
  </sheetViews>
  <sheetFormatPr defaultRowHeight="15" x14ac:dyDescent="0.25"/>
  <cols>
    <col min="1" max="1" width="7.140625" customWidth="1"/>
    <col min="2" max="2" width="28.42578125" style="6" customWidth="1"/>
    <col min="3" max="3" width="9.140625" customWidth="1"/>
    <col min="6" max="7" width="9.140625" style="5"/>
    <col min="11" max="12" width="9.140625" style="5"/>
    <col min="16" max="17" width="9.140625" style="5"/>
    <col min="21" max="22" width="9.140625" style="5"/>
    <col min="23" max="23" width="9.140625" style="54"/>
    <col min="24" max="25" width="9.140625" style="120"/>
    <col min="26" max="27" width="9.140625" style="54"/>
    <col min="28" max="28" width="14.7109375" customWidth="1"/>
    <col min="29" max="29" width="14.5703125" style="2" customWidth="1"/>
    <col min="30" max="30" width="13.85546875" style="2" customWidth="1"/>
    <col min="31" max="32" width="6.140625" style="2" customWidth="1"/>
    <col min="33" max="33" width="13.5703125" style="5" customWidth="1"/>
  </cols>
  <sheetData>
    <row r="1" spans="1:33" ht="15" customHeight="1" x14ac:dyDescent="0.25">
      <c r="B1" s="328" t="s">
        <v>42</v>
      </c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</row>
    <row r="2" spans="1:33" ht="15" customHeight="1" thickBot="1" x14ac:dyDescent="0.3">
      <c r="A2" s="1"/>
      <c r="B2" s="331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  <c r="AA2" s="332"/>
      <c r="AB2" s="332"/>
      <c r="AC2" s="332"/>
      <c r="AD2" s="332"/>
      <c r="AE2" s="332"/>
      <c r="AF2" s="332"/>
      <c r="AG2" s="332"/>
    </row>
    <row r="3" spans="1:33" x14ac:dyDescent="0.25">
      <c r="B3" s="310" t="s">
        <v>0</v>
      </c>
      <c r="C3" s="334">
        <v>45902</v>
      </c>
      <c r="D3" s="335"/>
      <c r="E3" s="335"/>
      <c r="F3" s="335"/>
      <c r="G3" s="336"/>
      <c r="H3" s="337">
        <f>C3+7</f>
        <v>45909</v>
      </c>
      <c r="I3" s="338"/>
      <c r="J3" s="338"/>
      <c r="K3" s="338"/>
      <c r="L3" s="339"/>
      <c r="M3" s="340">
        <f>H3+7</f>
        <v>45916</v>
      </c>
      <c r="N3" s="341"/>
      <c r="O3" s="341"/>
      <c r="P3" s="341"/>
      <c r="Q3" s="342"/>
      <c r="R3" s="343">
        <f>M3+7</f>
        <v>45923</v>
      </c>
      <c r="S3" s="344"/>
      <c r="T3" s="344"/>
      <c r="U3" s="344"/>
      <c r="V3" s="345"/>
      <c r="W3" s="351">
        <f>R3+7</f>
        <v>45930</v>
      </c>
      <c r="X3" s="352"/>
      <c r="Y3" s="352"/>
      <c r="Z3" s="352"/>
      <c r="AA3" s="353"/>
      <c r="AB3" s="310" t="s">
        <v>45</v>
      </c>
      <c r="AC3" s="349" t="s">
        <v>46</v>
      </c>
      <c r="AD3" s="349" t="s">
        <v>47</v>
      </c>
      <c r="AE3" s="349" t="s">
        <v>72</v>
      </c>
      <c r="AF3" s="349" t="s">
        <v>75</v>
      </c>
      <c r="AG3" s="277" t="s">
        <v>48</v>
      </c>
    </row>
    <row r="4" spans="1:33" ht="15.75" thickBot="1" x14ac:dyDescent="0.3">
      <c r="B4" s="311"/>
      <c r="C4" s="191" t="s">
        <v>49</v>
      </c>
      <c r="D4" s="192" t="s">
        <v>43</v>
      </c>
      <c r="E4" s="192" t="s">
        <v>2</v>
      </c>
      <c r="F4" s="193" t="s">
        <v>40</v>
      </c>
      <c r="G4" s="239" t="s">
        <v>75</v>
      </c>
      <c r="H4" s="195" t="s">
        <v>49</v>
      </c>
      <c r="I4" s="196" t="s">
        <v>43</v>
      </c>
      <c r="J4" s="196" t="s">
        <v>2</v>
      </c>
      <c r="K4" s="197" t="s">
        <v>40</v>
      </c>
      <c r="L4" s="198" t="s">
        <v>75</v>
      </c>
      <c r="M4" s="214" t="s">
        <v>49</v>
      </c>
      <c r="N4" s="199" t="s">
        <v>44</v>
      </c>
      <c r="O4" s="199" t="s">
        <v>2</v>
      </c>
      <c r="P4" s="200" t="s">
        <v>40</v>
      </c>
      <c r="Q4" s="215" t="s">
        <v>75</v>
      </c>
      <c r="R4" s="202" t="s">
        <v>49</v>
      </c>
      <c r="S4" s="203" t="s">
        <v>43</v>
      </c>
      <c r="T4" s="203" t="s">
        <v>2</v>
      </c>
      <c r="U4" s="204" t="s">
        <v>40</v>
      </c>
      <c r="V4" s="205" t="s">
        <v>75</v>
      </c>
      <c r="W4" s="258" t="s">
        <v>49</v>
      </c>
      <c r="X4" s="206" t="s">
        <v>43</v>
      </c>
      <c r="Y4" s="206" t="s">
        <v>2</v>
      </c>
      <c r="Z4" s="207" t="s">
        <v>40</v>
      </c>
      <c r="AA4" s="208" t="s">
        <v>75</v>
      </c>
      <c r="AB4" s="311"/>
      <c r="AC4" s="350"/>
      <c r="AD4" s="350"/>
      <c r="AE4" s="350"/>
      <c r="AF4" s="350"/>
      <c r="AG4" s="278"/>
    </row>
    <row r="5" spans="1:33" x14ac:dyDescent="0.25">
      <c r="B5" s="236" t="s">
        <v>3</v>
      </c>
      <c r="C5" s="217" t="s">
        <v>50</v>
      </c>
      <c r="D5" s="218">
        <v>1</v>
      </c>
      <c r="E5" s="218">
        <v>2</v>
      </c>
      <c r="F5" s="219">
        <v>6.64</v>
      </c>
      <c r="G5" s="232"/>
      <c r="H5" s="221" t="s">
        <v>50</v>
      </c>
      <c r="I5" s="222">
        <v>2</v>
      </c>
      <c r="J5" s="222">
        <v>1</v>
      </c>
      <c r="K5" s="219">
        <v>6.26</v>
      </c>
      <c r="L5" s="220"/>
      <c r="M5" s="242"/>
      <c r="N5" s="222"/>
      <c r="O5" s="222"/>
      <c r="P5" s="219"/>
      <c r="Q5" s="232"/>
      <c r="R5" s="217" t="s">
        <v>50</v>
      </c>
      <c r="S5" s="218">
        <v>2</v>
      </c>
      <c r="T5" s="218">
        <v>3</v>
      </c>
      <c r="U5" s="219">
        <v>6.5</v>
      </c>
      <c r="V5" s="220"/>
      <c r="W5" s="242" t="s">
        <v>50</v>
      </c>
      <c r="X5" s="222">
        <v>1</v>
      </c>
      <c r="Y5" s="222">
        <v>0</v>
      </c>
      <c r="Z5" s="219">
        <v>3.14</v>
      </c>
      <c r="AA5" s="220"/>
      <c r="AB5" s="26">
        <f>COUNTIF(C5:Z5,"P")</f>
        <v>4</v>
      </c>
      <c r="AC5" s="27">
        <f t="shared" ref="AC5:AD46" si="0">SUM(D5,I5,N5,S5,X5)</f>
        <v>6</v>
      </c>
      <c r="AD5" s="27">
        <f t="shared" si="0"/>
        <v>6</v>
      </c>
      <c r="AE5" s="27">
        <f>SUM(AC5+AD5)</f>
        <v>12</v>
      </c>
      <c r="AF5" s="27">
        <f>COUNTIF(G5:AA5,"F")</f>
        <v>0</v>
      </c>
      <c r="AG5" s="28">
        <f>IFERROR(AVERAGE(F5,K5,P5,U5,Z5),"-")</f>
        <v>5.6349999999999998</v>
      </c>
    </row>
    <row r="6" spans="1:33" x14ac:dyDescent="0.25">
      <c r="B6" s="236" t="s">
        <v>4</v>
      </c>
      <c r="C6" s="49"/>
      <c r="D6" s="137"/>
      <c r="E6" s="137"/>
      <c r="F6" s="138"/>
      <c r="G6" s="144"/>
      <c r="H6" s="148" t="s">
        <v>50</v>
      </c>
      <c r="I6" s="149">
        <v>1</v>
      </c>
      <c r="J6" s="149">
        <v>0</v>
      </c>
      <c r="K6" s="138">
        <v>6.4</v>
      </c>
      <c r="L6" s="139"/>
      <c r="M6" s="243" t="s">
        <v>50</v>
      </c>
      <c r="N6" s="149">
        <v>0</v>
      </c>
      <c r="O6" s="149">
        <v>0</v>
      </c>
      <c r="P6" s="138">
        <v>4.54</v>
      </c>
      <c r="Q6" s="144"/>
      <c r="R6" s="49" t="s">
        <v>50</v>
      </c>
      <c r="S6" s="137">
        <v>0</v>
      </c>
      <c r="T6" s="137">
        <v>1</v>
      </c>
      <c r="U6" s="138">
        <v>4.92</v>
      </c>
      <c r="V6" s="139"/>
      <c r="W6" s="243" t="s">
        <v>50</v>
      </c>
      <c r="X6" s="149">
        <v>1</v>
      </c>
      <c r="Y6" s="149">
        <v>2</v>
      </c>
      <c r="Z6" s="138">
        <v>4</v>
      </c>
      <c r="AA6" s="152" t="s">
        <v>76</v>
      </c>
      <c r="AB6" s="15">
        <f t="shared" ref="AB6:AB49" si="1">COUNTIF(C6:Z6,"P")</f>
        <v>4</v>
      </c>
      <c r="AC6" s="17">
        <f t="shared" si="0"/>
        <v>2</v>
      </c>
      <c r="AD6" s="17">
        <f t="shared" si="0"/>
        <v>3</v>
      </c>
      <c r="AE6" s="17">
        <f t="shared" ref="AE6:AE49" si="2">SUM(AC6+AD6)</f>
        <v>5</v>
      </c>
      <c r="AF6" s="17">
        <f t="shared" ref="AF6:AF49" si="3">COUNTIF(G6:AA6,"F")</f>
        <v>1</v>
      </c>
      <c r="AG6" s="19">
        <f t="shared" ref="AG6:AG49" si="4">IFERROR(AVERAGE(F6,K6,P6,U6,Z6),"-")</f>
        <v>4.9649999999999999</v>
      </c>
    </row>
    <row r="7" spans="1:33" x14ac:dyDescent="0.25">
      <c r="B7" s="236" t="s">
        <v>5</v>
      </c>
      <c r="C7" s="49"/>
      <c r="D7" s="137"/>
      <c r="E7" s="137"/>
      <c r="F7" s="138"/>
      <c r="G7" s="144"/>
      <c r="H7" s="148"/>
      <c r="I7" s="149"/>
      <c r="J7" s="149"/>
      <c r="K7" s="138"/>
      <c r="L7" s="139"/>
      <c r="M7" s="243"/>
      <c r="N7" s="149"/>
      <c r="O7" s="149"/>
      <c r="P7" s="138"/>
      <c r="Q7" s="144"/>
      <c r="R7" s="49"/>
      <c r="S7" s="137"/>
      <c r="T7" s="137"/>
      <c r="U7" s="138"/>
      <c r="V7" s="139"/>
      <c r="W7" s="243"/>
      <c r="X7" s="149"/>
      <c r="Y7" s="149"/>
      <c r="Z7" s="138"/>
      <c r="AA7" s="139"/>
      <c r="AB7" s="15">
        <f t="shared" si="1"/>
        <v>0</v>
      </c>
      <c r="AC7" s="17">
        <f t="shared" si="0"/>
        <v>0</v>
      </c>
      <c r="AD7" s="17">
        <f t="shared" si="0"/>
        <v>0</v>
      </c>
      <c r="AE7" s="17">
        <f t="shared" si="2"/>
        <v>0</v>
      </c>
      <c r="AF7" s="17">
        <f t="shared" si="3"/>
        <v>0</v>
      </c>
      <c r="AG7" s="19" t="str">
        <f t="shared" si="4"/>
        <v>-</v>
      </c>
    </row>
    <row r="8" spans="1:33" x14ac:dyDescent="0.25">
      <c r="B8" s="236" t="s">
        <v>74</v>
      </c>
      <c r="C8" s="154" t="s">
        <v>50</v>
      </c>
      <c r="D8" s="137">
        <v>0</v>
      </c>
      <c r="E8" s="137">
        <v>0</v>
      </c>
      <c r="F8" s="138">
        <v>6.1</v>
      </c>
      <c r="G8" s="144"/>
      <c r="H8" s="148"/>
      <c r="I8" s="149"/>
      <c r="J8" s="149"/>
      <c r="K8" s="138"/>
      <c r="L8" s="139"/>
      <c r="M8" s="243"/>
      <c r="N8" s="149"/>
      <c r="O8" s="149"/>
      <c r="P8" s="138"/>
      <c r="Q8" s="144"/>
      <c r="R8" s="154"/>
      <c r="S8" s="137"/>
      <c r="T8" s="137"/>
      <c r="U8" s="138"/>
      <c r="V8" s="139"/>
      <c r="W8" s="243"/>
      <c r="X8" s="149"/>
      <c r="Y8" s="149"/>
      <c r="Z8" s="138">
        <v>5.36</v>
      </c>
      <c r="AA8" s="139"/>
      <c r="AB8" s="15">
        <f t="shared" si="1"/>
        <v>1</v>
      </c>
      <c r="AC8" s="17">
        <f t="shared" si="0"/>
        <v>0</v>
      </c>
      <c r="AD8" s="17">
        <f t="shared" si="0"/>
        <v>0</v>
      </c>
      <c r="AE8" s="17">
        <f t="shared" si="2"/>
        <v>0</v>
      </c>
      <c r="AF8" s="17">
        <f t="shared" si="3"/>
        <v>0</v>
      </c>
      <c r="AG8" s="19">
        <f t="shared" si="4"/>
        <v>5.73</v>
      </c>
    </row>
    <row r="9" spans="1:33" x14ac:dyDescent="0.25">
      <c r="B9" s="236" t="s">
        <v>6</v>
      </c>
      <c r="C9" s="154"/>
      <c r="D9" s="137"/>
      <c r="E9" s="137"/>
      <c r="F9" s="138"/>
      <c r="G9" s="144"/>
      <c r="H9" s="148"/>
      <c r="I9" s="149"/>
      <c r="J9" s="149"/>
      <c r="K9" s="138">
        <v>6</v>
      </c>
      <c r="L9" s="139"/>
      <c r="M9" s="243"/>
      <c r="N9" s="149"/>
      <c r="O9" s="149"/>
      <c r="P9" s="138"/>
      <c r="Q9" s="144"/>
      <c r="R9" s="154"/>
      <c r="S9" s="137"/>
      <c r="T9" s="137"/>
      <c r="U9" s="138"/>
      <c r="V9" s="139"/>
      <c r="W9" s="243" t="s">
        <v>50</v>
      </c>
      <c r="X9" s="149">
        <v>1</v>
      </c>
      <c r="Y9" s="149">
        <v>0</v>
      </c>
      <c r="Z9" s="138">
        <v>4.7</v>
      </c>
      <c r="AA9" s="139"/>
      <c r="AB9" s="15">
        <f t="shared" si="1"/>
        <v>1</v>
      </c>
      <c r="AC9" s="17">
        <f t="shared" si="0"/>
        <v>1</v>
      </c>
      <c r="AD9" s="17">
        <f t="shared" si="0"/>
        <v>0</v>
      </c>
      <c r="AE9" s="17">
        <f t="shared" si="2"/>
        <v>1</v>
      </c>
      <c r="AF9" s="17">
        <f t="shared" si="3"/>
        <v>0</v>
      </c>
      <c r="AG9" s="19">
        <f t="shared" si="4"/>
        <v>5.35</v>
      </c>
    </row>
    <row r="10" spans="1:33" x14ac:dyDescent="0.25">
      <c r="B10" s="236" t="s">
        <v>7</v>
      </c>
      <c r="C10" s="49"/>
      <c r="D10" s="137"/>
      <c r="E10" s="137"/>
      <c r="F10" s="138"/>
      <c r="G10" s="144"/>
      <c r="H10" s="148" t="s">
        <v>50</v>
      </c>
      <c r="I10" s="149">
        <v>0</v>
      </c>
      <c r="J10" s="149">
        <v>0</v>
      </c>
      <c r="K10" s="138">
        <v>5</v>
      </c>
      <c r="L10" s="139"/>
      <c r="M10" s="243" t="s">
        <v>50</v>
      </c>
      <c r="N10" s="149">
        <v>0</v>
      </c>
      <c r="O10" s="149">
        <v>2</v>
      </c>
      <c r="P10" s="138">
        <v>6.3</v>
      </c>
      <c r="Q10" s="240" t="s">
        <v>76</v>
      </c>
      <c r="R10" s="49" t="s">
        <v>50</v>
      </c>
      <c r="S10" s="137">
        <v>0</v>
      </c>
      <c r="T10" s="137">
        <v>1</v>
      </c>
      <c r="U10" s="138">
        <v>6.08</v>
      </c>
      <c r="V10" s="139"/>
      <c r="W10" s="243" t="s">
        <v>50</v>
      </c>
      <c r="X10" s="149">
        <v>0</v>
      </c>
      <c r="Y10" s="149">
        <v>0</v>
      </c>
      <c r="Z10" s="138">
        <v>4.92</v>
      </c>
      <c r="AA10" s="139"/>
      <c r="AB10" s="15">
        <f t="shared" si="1"/>
        <v>4</v>
      </c>
      <c r="AC10" s="17">
        <f t="shared" si="0"/>
        <v>0</v>
      </c>
      <c r="AD10" s="17">
        <f t="shared" si="0"/>
        <v>3</v>
      </c>
      <c r="AE10" s="17">
        <f t="shared" si="2"/>
        <v>3</v>
      </c>
      <c r="AF10" s="17">
        <f t="shared" si="3"/>
        <v>1</v>
      </c>
      <c r="AG10" s="19">
        <f t="shared" si="4"/>
        <v>5.5750000000000011</v>
      </c>
    </row>
    <row r="11" spans="1:33" x14ac:dyDescent="0.25">
      <c r="B11" s="236" t="s">
        <v>8</v>
      </c>
      <c r="C11" s="49"/>
      <c r="D11" s="137"/>
      <c r="E11" s="137"/>
      <c r="F11" s="138"/>
      <c r="G11" s="144"/>
      <c r="H11" s="148" t="s">
        <v>50</v>
      </c>
      <c r="I11" s="149">
        <v>2</v>
      </c>
      <c r="J11" s="149">
        <v>2</v>
      </c>
      <c r="K11" s="138">
        <v>6.8</v>
      </c>
      <c r="L11" s="139"/>
      <c r="M11" s="243" t="s">
        <v>50</v>
      </c>
      <c r="N11" s="149">
        <v>1</v>
      </c>
      <c r="O11" s="149">
        <v>1</v>
      </c>
      <c r="P11" s="138">
        <v>5.4</v>
      </c>
      <c r="Q11" s="144"/>
      <c r="R11" s="49"/>
      <c r="S11" s="137"/>
      <c r="T11" s="137"/>
      <c r="U11" s="138"/>
      <c r="V11" s="139"/>
      <c r="W11" s="243"/>
      <c r="X11" s="149"/>
      <c r="Y11" s="149"/>
      <c r="Z11" s="138"/>
      <c r="AA11" s="139"/>
      <c r="AB11" s="15">
        <f t="shared" si="1"/>
        <v>2</v>
      </c>
      <c r="AC11" s="17">
        <f t="shared" si="0"/>
        <v>3</v>
      </c>
      <c r="AD11" s="17">
        <f t="shared" si="0"/>
        <v>3</v>
      </c>
      <c r="AE11" s="17">
        <f t="shared" si="2"/>
        <v>6</v>
      </c>
      <c r="AF11" s="17">
        <f t="shared" si="3"/>
        <v>0</v>
      </c>
      <c r="AG11" s="19">
        <f t="shared" si="4"/>
        <v>6.1</v>
      </c>
    </row>
    <row r="12" spans="1:33" x14ac:dyDescent="0.25">
      <c r="B12" s="236" t="s">
        <v>9</v>
      </c>
      <c r="C12" s="49" t="s">
        <v>50</v>
      </c>
      <c r="D12" s="137">
        <v>1</v>
      </c>
      <c r="E12" s="137">
        <v>0</v>
      </c>
      <c r="F12" s="138">
        <v>5.66</v>
      </c>
      <c r="G12" s="144"/>
      <c r="H12" s="148" t="s">
        <v>50</v>
      </c>
      <c r="I12" s="149">
        <v>4</v>
      </c>
      <c r="J12" s="149">
        <v>1</v>
      </c>
      <c r="K12" s="138">
        <v>6.76</v>
      </c>
      <c r="L12" s="139"/>
      <c r="M12" s="243" t="s">
        <v>50</v>
      </c>
      <c r="N12" s="149">
        <v>2</v>
      </c>
      <c r="O12" s="149">
        <v>2</v>
      </c>
      <c r="P12" s="138">
        <v>6.1</v>
      </c>
      <c r="Q12" s="240" t="s">
        <v>76</v>
      </c>
      <c r="R12" s="49" t="s">
        <v>50</v>
      </c>
      <c r="S12" s="137">
        <v>0</v>
      </c>
      <c r="T12" s="137">
        <v>2</v>
      </c>
      <c r="U12" s="138">
        <v>5.66</v>
      </c>
      <c r="V12" s="139"/>
      <c r="W12" s="243" t="s">
        <v>50</v>
      </c>
      <c r="X12" s="149">
        <v>0</v>
      </c>
      <c r="Y12" s="149">
        <v>0</v>
      </c>
      <c r="Z12" s="138">
        <v>5.08</v>
      </c>
      <c r="AA12" s="139"/>
      <c r="AB12" s="15">
        <f t="shared" si="1"/>
        <v>5</v>
      </c>
      <c r="AC12" s="17">
        <f t="shared" si="0"/>
        <v>7</v>
      </c>
      <c r="AD12" s="17">
        <f t="shared" si="0"/>
        <v>5</v>
      </c>
      <c r="AE12" s="17">
        <f t="shared" si="2"/>
        <v>12</v>
      </c>
      <c r="AF12" s="17">
        <f t="shared" si="3"/>
        <v>1</v>
      </c>
      <c r="AG12" s="19">
        <f t="shared" si="4"/>
        <v>5.8519999999999994</v>
      </c>
    </row>
    <row r="13" spans="1:33" x14ac:dyDescent="0.25">
      <c r="B13" s="236" t="s">
        <v>10</v>
      </c>
      <c r="C13" s="49"/>
      <c r="D13" s="137"/>
      <c r="E13" s="137"/>
      <c r="F13" s="138"/>
      <c r="G13" s="144"/>
      <c r="H13" s="148"/>
      <c r="I13" s="149"/>
      <c r="J13" s="149"/>
      <c r="K13" s="138"/>
      <c r="L13" s="139"/>
      <c r="M13" s="243"/>
      <c r="N13" s="149"/>
      <c r="O13" s="149"/>
      <c r="P13" s="138"/>
      <c r="Q13" s="144"/>
      <c r="R13" s="49"/>
      <c r="S13" s="137"/>
      <c r="T13" s="137"/>
      <c r="U13" s="138"/>
      <c r="V13" s="139"/>
      <c r="W13" s="243"/>
      <c r="X13" s="149"/>
      <c r="Y13" s="149"/>
      <c r="Z13" s="138"/>
      <c r="AA13" s="139"/>
      <c r="AB13" s="15">
        <f t="shared" si="1"/>
        <v>0</v>
      </c>
      <c r="AC13" s="17">
        <f t="shared" si="0"/>
        <v>0</v>
      </c>
      <c r="AD13" s="17">
        <f t="shared" si="0"/>
        <v>0</v>
      </c>
      <c r="AE13" s="17">
        <f t="shared" si="2"/>
        <v>0</v>
      </c>
      <c r="AF13" s="17">
        <f t="shared" si="3"/>
        <v>0</v>
      </c>
      <c r="AG13" s="19" t="str">
        <f t="shared" si="4"/>
        <v>-</v>
      </c>
    </row>
    <row r="14" spans="1:33" x14ac:dyDescent="0.25">
      <c r="B14" s="236" t="s">
        <v>11</v>
      </c>
      <c r="C14" s="49" t="s">
        <v>50</v>
      </c>
      <c r="D14" s="137">
        <v>0</v>
      </c>
      <c r="E14" s="137">
        <v>0</v>
      </c>
      <c r="F14" s="138">
        <v>6.82</v>
      </c>
      <c r="G14" s="144"/>
      <c r="H14" s="148"/>
      <c r="I14" s="149"/>
      <c r="J14" s="149"/>
      <c r="K14" s="138"/>
      <c r="L14" s="139"/>
      <c r="M14" s="243"/>
      <c r="N14" s="149"/>
      <c r="O14" s="149"/>
      <c r="P14" s="138"/>
      <c r="Q14" s="144"/>
      <c r="R14" s="49" t="s">
        <v>50</v>
      </c>
      <c r="S14" s="137">
        <v>1</v>
      </c>
      <c r="T14" s="137">
        <v>0</v>
      </c>
      <c r="U14" s="138">
        <v>5.92</v>
      </c>
      <c r="V14" s="139"/>
      <c r="W14" s="243" t="s">
        <v>50</v>
      </c>
      <c r="X14" s="149">
        <v>1</v>
      </c>
      <c r="Y14" s="149">
        <v>0</v>
      </c>
      <c r="Z14" s="138">
        <v>5.16</v>
      </c>
      <c r="AA14" s="139"/>
      <c r="AB14" s="15">
        <f t="shared" si="1"/>
        <v>3</v>
      </c>
      <c r="AC14" s="17">
        <f t="shared" si="0"/>
        <v>2</v>
      </c>
      <c r="AD14" s="17">
        <f t="shared" si="0"/>
        <v>0</v>
      </c>
      <c r="AE14" s="17">
        <f t="shared" si="2"/>
        <v>2</v>
      </c>
      <c r="AF14" s="17">
        <f t="shared" si="3"/>
        <v>0</v>
      </c>
      <c r="AG14" s="19">
        <f t="shared" si="4"/>
        <v>5.9666666666666659</v>
      </c>
    </row>
    <row r="15" spans="1:33" x14ac:dyDescent="0.25">
      <c r="B15" s="237" t="s">
        <v>83</v>
      </c>
      <c r="C15" s="9"/>
      <c r="D15" s="159"/>
      <c r="E15" s="159"/>
      <c r="F15" s="4"/>
      <c r="G15" s="37"/>
      <c r="H15" s="9"/>
      <c r="I15" s="159"/>
      <c r="J15" s="159"/>
      <c r="K15" s="4"/>
      <c r="L15" s="10"/>
      <c r="M15" s="23"/>
      <c r="N15" s="159"/>
      <c r="O15" s="159"/>
      <c r="P15" s="4"/>
      <c r="Q15" s="37"/>
      <c r="R15" s="9"/>
      <c r="S15" s="159"/>
      <c r="T15" s="159"/>
      <c r="U15" s="4"/>
      <c r="V15" s="10"/>
      <c r="W15" s="259"/>
      <c r="X15" s="3"/>
      <c r="Y15" s="3"/>
      <c r="Z15" s="4"/>
      <c r="AA15" s="10"/>
      <c r="AB15" s="15">
        <f t="shared" si="1"/>
        <v>0</v>
      </c>
      <c r="AC15" s="17">
        <f t="shared" si="0"/>
        <v>0</v>
      </c>
      <c r="AD15" s="17">
        <f t="shared" si="0"/>
        <v>0</v>
      </c>
      <c r="AE15" s="17">
        <f t="shared" si="2"/>
        <v>0</v>
      </c>
      <c r="AF15" s="17">
        <f t="shared" si="3"/>
        <v>0</v>
      </c>
      <c r="AG15" s="19" t="str">
        <f t="shared" si="4"/>
        <v>-</v>
      </c>
    </row>
    <row r="16" spans="1:33" x14ac:dyDescent="0.25">
      <c r="B16" s="236" t="s">
        <v>12</v>
      </c>
      <c r="C16" s="49" t="s">
        <v>50</v>
      </c>
      <c r="D16" s="137">
        <v>0</v>
      </c>
      <c r="E16" s="137">
        <v>0</v>
      </c>
      <c r="F16" s="138">
        <v>7.34</v>
      </c>
      <c r="G16" s="153" t="s">
        <v>76</v>
      </c>
      <c r="H16" s="148"/>
      <c r="I16" s="149"/>
      <c r="J16" s="149"/>
      <c r="K16" s="138"/>
      <c r="L16" s="139"/>
      <c r="M16" s="243" t="s">
        <v>50</v>
      </c>
      <c r="N16" s="149">
        <v>0</v>
      </c>
      <c r="O16" s="149">
        <v>0</v>
      </c>
      <c r="P16" s="138">
        <v>4.5</v>
      </c>
      <c r="Q16" s="144"/>
      <c r="R16" s="49" t="s">
        <v>50</v>
      </c>
      <c r="S16" s="137">
        <v>0</v>
      </c>
      <c r="T16" s="137">
        <v>0</v>
      </c>
      <c r="U16" s="138">
        <v>6.66</v>
      </c>
      <c r="V16" s="134" t="s">
        <v>76</v>
      </c>
      <c r="W16" s="243" t="s">
        <v>50</v>
      </c>
      <c r="X16" s="149">
        <v>0</v>
      </c>
      <c r="Y16" s="149">
        <v>0</v>
      </c>
      <c r="Z16" s="138">
        <v>5.7</v>
      </c>
      <c r="AA16" s="152" t="s">
        <v>76</v>
      </c>
      <c r="AB16" s="15">
        <f t="shared" si="1"/>
        <v>4</v>
      </c>
      <c r="AC16" s="17">
        <f t="shared" si="0"/>
        <v>0</v>
      </c>
      <c r="AD16" s="17">
        <f t="shared" si="0"/>
        <v>0</v>
      </c>
      <c r="AE16" s="17">
        <f t="shared" si="2"/>
        <v>0</v>
      </c>
      <c r="AF16" s="17">
        <f t="shared" si="3"/>
        <v>3</v>
      </c>
      <c r="AG16" s="19">
        <f t="shared" si="4"/>
        <v>6.05</v>
      </c>
    </row>
    <row r="17" spans="2:33" x14ac:dyDescent="0.25">
      <c r="B17" s="236" t="s">
        <v>56</v>
      </c>
      <c r="C17" s="49"/>
      <c r="D17" s="137"/>
      <c r="E17" s="137"/>
      <c r="F17" s="138"/>
      <c r="G17" s="144"/>
      <c r="H17" s="148"/>
      <c r="I17" s="149"/>
      <c r="J17" s="149"/>
      <c r="K17" s="138"/>
      <c r="L17" s="139"/>
      <c r="M17" s="243"/>
      <c r="N17" s="149"/>
      <c r="O17" s="149"/>
      <c r="P17" s="138"/>
      <c r="Q17" s="144"/>
      <c r="R17" s="49"/>
      <c r="S17" s="137"/>
      <c r="T17" s="137"/>
      <c r="U17" s="138"/>
      <c r="V17" s="139"/>
      <c r="W17" s="243"/>
      <c r="X17" s="149"/>
      <c r="Y17" s="149"/>
      <c r="Z17" s="138"/>
      <c r="AA17" s="139"/>
      <c r="AB17" s="15">
        <f t="shared" si="1"/>
        <v>0</v>
      </c>
      <c r="AC17" s="17">
        <f t="shared" si="0"/>
        <v>0</v>
      </c>
      <c r="AD17" s="17">
        <f t="shared" si="0"/>
        <v>0</v>
      </c>
      <c r="AE17" s="17">
        <f t="shared" si="2"/>
        <v>0</v>
      </c>
      <c r="AF17" s="17">
        <f t="shared" si="3"/>
        <v>0</v>
      </c>
      <c r="AG17" s="19" t="str">
        <f t="shared" si="4"/>
        <v>-</v>
      </c>
    </row>
    <row r="18" spans="2:33" x14ac:dyDescent="0.25">
      <c r="B18" s="236" t="s">
        <v>13</v>
      </c>
      <c r="C18" s="49"/>
      <c r="D18" s="137"/>
      <c r="E18" s="137"/>
      <c r="F18" s="138"/>
      <c r="G18" s="144"/>
      <c r="H18" s="148"/>
      <c r="I18" s="149"/>
      <c r="J18" s="149"/>
      <c r="K18" s="138"/>
      <c r="L18" s="139"/>
      <c r="M18" s="243"/>
      <c r="N18" s="149"/>
      <c r="O18" s="149"/>
      <c r="P18" s="138"/>
      <c r="Q18" s="144"/>
      <c r="R18" s="49"/>
      <c r="S18" s="137"/>
      <c r="T18" s="137"/>
      <c r="U18" s="138"/>
      <c r="V18" s="139"/>
      <c r="W18" s="243" t="s">
        <v>50</v>
      </c>
      <c r="X18" s="149">
        <v>0</v>
      </c>
      <c r="Y18" s="149">
        <v>1</v>
      </c>
      <c r="Z18" s="138">
        <v>3.78</v>
      </c>
      <c r="AA18" s="139"/>
      <c r="AB18" s="15">
        <f t="shared" si="1"/>
        <v>1</v>
      </c>
      <c r="AC18" s="17">
        <f t="shared" si="0"/>
        <v>0</v>
      </c>
      <c r="AD18" s="17">
        <f t="shared" si="0"/>
        <v>1</v>
      </c>
      <c r="AE18" s="17">
        <f t="shared" si="2"/>
        <v>1</v>
      </c>
      <c r="AF18" s="17">
        <f t="shared" si="3"/>
        <v>0</v>
      </c>
      <c r="AG18" s="19">
        <f t="shared" si="4"/>
        <v>3.78</v>
      </c>
    </row>
    <row r="19" spans="2:33" x14ac:dyDescent="0.25">
      <c r="B19" s="236" t="s">
        <v>14</v>
      </c>
      <c r="C19" s="49" t="s">
        <v>50</v>
      </c>
      <c r="D19" s="137">
        <v>2</v>
      </c>
      <c r="E19" s="137">
        <v>0</v>
      </c>
      <c r="F19" s="138">
        <v>6</v>
      </c>
      <c r="G19" s="144"/>
      <c r="H19" s="148"/>
      <c r="I19" s="149"/>
      <c r="J19" s="149"/>
      <c r="K19" s="138"/>
      <c r="L19" s="139"/>
      <c r="M19" s="243" t="s">
        <v>50</v>
      </c>
      <c r="N19" s="149">
        <v>1</v>
      </c>
      <c r="O19" s="149">
        <v>1</v>
      </c>
      <c r="P19" s="138">
        <v>5.28</v>
      </c>
      <c r="Q19" s="144"/>
      <c r="R19" s="49"/>
      <c r="S19" s="137"/>
      <c r="T19" s="137"/>
      <c r="U19" s="138"/>
      <c r="V19" s="139"/>
      <c r="W19" s="243" t="s">
        <v>50</v>
      </c>
      <c r="X19" s="149">
        <v>1</v>
      </c>
      <c r="Y19" s="149">
        <v>1</v>
      </c>
      <c r="Z19" s="138">
        <v>4.78</v>
      </c>
      <c r="AA19" s="139"/>
      <c r="AB19" s="15">
        <f t="shared" si="1"/>
        <v>3</v>
      </c>
      <c r="AC19" s="17">
        <f t="shared" si="0"/>
        <v>4</v>
      </c>
      <c r="AD19" s="17">
        <f t="shared" si="0"/>
        <v>2</v>
      </c>
      <c r="AE19" s="17">
        <f t="shared" si="2"/>
        <v>6</v>
      </c>
      <c r="AF19" s="17">
        <f t="shared" si="3"/>
        <v>0</v>
      </c>
      <c r="AG19" s="19">
        <f t="shared" si="4"/>
        <v>5.3533333333333344</v>
      </c>
    </row>
    <row r="20" spans="2:33" x14ac:dyDescent="0.25">
      <c r="B20" s="237" t="s">
        <v>86</v>
      </c>
      <c r="C20" s="9"/>
      <c r="D20" s="159"/>
      <c r="E20" s="159"/>
      <c r="F20" s="4"/>
      <c r="G20" s="37"/>
      <c r="H20" s="9"/>
      <c r="I20" s="159"/>
      <c r="J20" s="159"/>
      <c r="K20" s="4"/>
      <c r="L20" s="10"/>
      <c r="M20" s="23"/>
      <c r="N20" s="159"/>
      <c r="O20" s="159"/>
      <c r="P20" s="4"/>
      <c r="Q20" s="37"/>
      <c r="R20" s="9"/>
      <c r="S20" s="159"/>
      <c r="T20" s="159"/>
      <c r="U20" s="4"/>
      <c r="V20" s="10"/>
      <c r="W20" s="259"/>
      <c r="X20" s="3"/>
      <c r="Y20" s="3"/>
      <c r="Z20" s="4"/>
      <c r="AA20" s="10"/>
      <c r="AB20" s="15">
        <f t="shared" si="1"/>
        <v>0</v>
      </c>
      <c r="AC20" s="17">
        <f t="shared" si="0"/>
        <v>0</v>
      </c>
      <c r="AD20" s="17">
        <f t="shared" si="0"/>
        <v>0</v>
      </c>
      <c r="AE20" s="17">
        <f t="shared" si="2"/>
        <v>0</v>
      </c>
      <c r="AF20" s="17">
        <f t="shared" si="3"/>
        <v>0</v>
      </c>
      <c r="AG20" s="19" t="str">
        <f t="shared" si="4"/>
        <v>-</v>
      </c>
    </row>
    <row r="21" spans="2:33" x14ac:dyDescent="0.25">
      <c r="B21" s="236" t="s">
        <v>15</v>
      </c>
      <c r="C21" s="49" t="s">
        <v>50</v>
      </c>
      <c r="D21" s="137">
        <v>0</v>
      </c>
      <c r="E21" s="137">
        <v>0</v>
      </c>
      <c r="F21" s="138">
        <v>6</v>
      </c>
      <c r="G21" s="153" t="s">
        <v>76</v>
      </c>
      <c r="H21" s="148"/>
      <c r="I21" s="149"/>
      <c r="J21" s="149"/>
      <c r="K21" s="138"/>
      <c r="L21" s="139"/>
      <c r="M21" s="243" t="s">
        <v>50</v>
      </c>
      <c r="N21" s="149">
        <v>0</v>
      </c>
      <c r="O21" s="149">
        <v>0</v>
      </c>
      <c r="P21" s="138">
        <v>4.46</v>
      </c>
      <c r="Q21" s="144"/>
      <c r="R21" s="49"/>
      <c r="S21" s="137"/>
      <c r="T21" s="137"/>
      <c r="U21" s="138"/>
      <c r="V21" s="139"/>
      <c r="W21" s="243" t="s">
        <v>50</v>
      </c>
      <c r="X21" s="149">
        <v>0</v>
      </c>
      <c r="Y21" s="149">
        <v>0</v>
      </c>
      <c r="Z21" s="138">
        <v>2.86</v>
      </c>
      <c r="AA21" s="139"/>
      <c r="AB21" s="15">
        <f t="shared" si="1"/>
        <v>3</v>
      </c>
      <c r="AC21" s="17">
        <f t="shared" si="0"/>
        <v>0</v>
      </c>
      <c r="AD21" s="17">
        <f t="shared" si="0"/>
        <v>0</v>
      </c>
      <c r="AE21" s="17">
        <f t="shared" si="2"/>
        <v>0</v>
      </c>
      <c r="AF21" s="17">
        <f t="shared" si="3"/>
        <v>1</v>
      </c>
      <c r="AG21" s="19">
        <f t="shared" si="4"/>
        <v>4.4400000000000004</v>
      </c>
    </row>
    <row r="22" spans="2:33" x14ac:dyDescent="0.25">
      <c r="B22" s="236" t="s">
        <v>16</v>
      </c>
      <c r="C22" s="49" t="s">
        <v>50</v>
      </c>
      <c r="D22" s="137">
        <v>2</v>
      </c>
      <c r="E22" s="137">
        <v>0</v>
      </c>
      <c r="F22" s="138">
        <v>5.0999999999999996</v>
      </c>
      <c r="G22" s="153" t="s">
        <v>76</v>
      </c>
      <c r="H22" s="148" t="s">
        <v>50</v>
      </c>
      <c r="I22" s="149">
        <v>4</v>
      </c>
      <c r="J22" s="149">
        <v>2</v>
      </c>
      <c r="K22" s="138">
        <v>6.8</v>
      </c>
      <c r="L22" s="139"/>
      <c r="M22" s="243" t="s">
        <v>50</v>
      </c>
      <c r="N22" s="149">
        <v>1</v>
      </c>
      <c r="O22" s="149">
        <v>3</v>
      </c>
      <c r="P22" s="138">
        <v>5</v>
      </c>
      <c r="Q22" s="144"/>
      <c r="R22" s="49" t="s">
        <v>50</v>
      </c>
      <c r="S22" s="137">
        <v>0</v>
      </c>
      <c r="T22" s="137">
        <v>0</v>
      </c>
      <c r="U22" s="138">
        <v>5</v>
      </c>
      <c r="V22" s="139"/>
      <c r="W22" s="243" t="s">
        <v>50</v>
      </c>
      <c r="X22" s="149">
        <v>3</v>
      </c>
      <c r="Y22" s="149">
        <v>0</v>
      </c>
      <c r="Z22" s="138">
        <v>4.28</v>
      </c>
      <c r="AA22" s="139"/>
      <c r="AB22" s="15">
        <f t="shared" si="1"/>
        <v>5</v>
      </c>
      <c r="AC22" s="17">
        <f t="shared" si="0"/>
        <v>10</v>
      </c>
      <c r="AD22" s="17">
        <f t="shared" si="0"/>
        <v>5</v>
      </c>
      <c r="AE22" s="17">
        <f t="shared" si="2"/>
        <v>15</v>
      </c>
      <c r="AF22" s="17">
        <f t="shared" si="3"/>
        <v>1</v>
      </c>
      <c r="AG22" s="19">
        <f t="shared" si="4"/>
        <v>5.2359999999999998</v>
      </c>
    </row>
    <row r="23" spans="2:33" x14ac:dyDescent="0.25">
      <c r="B23" s="236" t="s">
        <v>17</v>
      </c>
      <c r="C23" s="49" t="s">
        <v>50</v>
      </c>
      <c r="D23" s="137">
        <v>2</v>
      </c>
      <c r="E23" s="137">
        <v>3</v>
      </c>
      <c r="F23" s="138">
        <v>7.18</v>
      </c>
      <c r="G23" s="153" t="s">
        <v>76</v>
      </c>
      <c r="H23" s="148" t="s">
        <v>50</v>
      </c>
      <c r="I23" s="149">
        <v>3</v>
      </c>
      <c r="J23" s="149">
        <v>2</v>
      </c>
      <c r="K23" s="138">
        <v>6.5</v>
      </c>
      <c r="L23" s="139"/>
      <c r="M23" s="243" t="s">
        <v>50</v>
      </c>
      <c r="N23" s="149">
        <v>4</v>
      </c>
      <c r="O23" s="149">
        <v>1</v>
      </c>
      <c r="P23" s="138">
        <v>5.4</v>
      </c>
      <c r="Q23" s="144"/>
      <c r="R23" s="49"/>
      <c r="S23" s="137"/>
      <c r="T23" s="137"/>
      <c r="U23" s="138"/>
      <c r="V23" s="139"/>
      <c r="W23" s="243" t="s">
        <v>50</v>
      </c>
      <c r="X23" s="149">
        <v>1</v>
      </c>
      <c r="Y23" s="149">
        <v>4</v>
      </c>
      <c r="Z23" s="138">
        <v>4.16</v>
      </c>
      <c r="AA23" s="139"/>
      <c r="AB23" s="15">
        <f t="shared" si="1"/>
        <v>4</v>
      </c>
      <c r="AC23" s="17">
        <f t="shared" si="0"/>
        <v>10</v>
      </c>
      <c r="AD23" s="17">
        <f t="shared" si="0"/>
        <v>10</v>
      </c>
      <c r="AE23" s="17">
        <f t="shared" si="2"/>
        <v>20</v>
      </c>
      <c r="AF23" s="17">
        <f t="shared" si="3"/>
        <v>1</v>
      </c>
      <c r="AG23" s="19">
        <f t="shared" si="4"/>
        <v>5.81</v>
      </c>
    </row>
    <row r="24" spans="2:33" x14ac:dyDescent="0.25">
      <c r="B24" s="236" t="s">
        <v>18</v>
      </c>
      <c r="C24" s="49"/>
      <c r="D24" s="137"/>
      <c r="E24" s="137"/>
      <c r="F24" s="138"/>
      <c r="G24" s="144"/>
      <c r="H24" s="148"/>
      <c r="I24" s="149"/>
      <c r="J24" s="149"/>
      <c r="K24" s="138"/>
      <c r="L24" s="139"/>
      <c r="M24" s="243"/>
      <c r="N24" s="149"/>
      <c r="O24" s="149"/>
      <c r="P24" s="138"/>
      <c r="Q24" s="144"/>
      <c r="R24" s="49"/>
      <c r="S24" s="137"/>
      <c r="T24" s="137"/>
      <c r="U24" s="138"/>
      <c r="V24" s="139"/>
      <c r="W24" s="243"/>
      <c r="X24" s="149"/>
      <c r="Y24" s="149"/>
      <c r="Z24" s="138"/>
      <c r="AA24" s="139"/>
      <c r="AB24" s="15">
        <f t="shared" si="1"/>
        <v>0</v>
      </c>
      <c r="AC24" s="17">
        <f t="shared" si="0"/>
        <v>0</v>
      </c>
      <c r="AD24" s="17">
        <f t="shared" si="0"/>
        <v>0</v>
      </c>
      <c r="AE24" s="17">
        <f t="shared" si="2"/>
        <v>0</v>
      </c>
      <c r="AF24" s="17">
        <f t="shared" si="3"/>
        <v>0</v>
      </c>
      <c r="AG24" s="19" t="str">
        <f t="shared" si="4"/>
        <v>-</v>
      </c>
    </row>
    <row r="25" spans="2:33" x14ac:dyDescent="0.25">
      <c r="B25" s="236" t="s">
        <v>19</v>
      </c>
      <c r="C25" s="49" t="s">
        <v>50</v>
      </c>
      <c r="D25" s="137">
        <v>1</v>
      </c>
      <c r="E25" s="137">
        <v>1</v>
      </c>
      <c r="F25" s="138">
        <v>6.92</v>
      </c>
      <c r="G25" s="153" t="s">
        <v>76</v>
      </c>
      <c r="H25" s="148" t="s">
        <v>50</v>
      </c>
      <c r="I25" s="149">
        <v>0</v>
      </c>
      <c r="J25" s="149">
        <v>0</v>
      </c>
      <c r="K25" s="138">
        <v>6.76</v>
      </c>
      <c r="L25" s="139"/>
      <c r="M25" s="243" t="s">
        <v>50</v>
      </c>
      <c r="N25" s="149">
        <v>0</v>
      </c>
      <c r="O25" s="149">
        <v>0</v>
      </c>
      <c r="P25" s="138">
        <v>4.9000000000000004</v>
      </c>
      <c r="Q25" s="144"/>
      <c r="R25" s="49"/>
      <c r="S25" s="137"/>
      <c r="T25" s="137"/>
      <c r="U25" s="138"/>
      <c r="V25" s="139"/>
      <c r="W25" s="243" t="s">
        <v>50</v>
      </c>
      <c r="X25" s="149">
        <v>0</v>
      </c>
      <c r="Y25" s="149">
        <v>1</v>
      </c>
      <c r="Z25" s="138">
        <v>2.2400000000000002</v>
      </c>
      <c r="AA25" s="139"/>
      <c r="AB25" s="15">
        <f t="shared" si="1"/>
        <v>4</v>
      </c>
      <c r="AC25" s="17">
        <f t="shared" si="0"/>
        <v>1</v>
      </c>
      <c r="AD25" s="17">
        <f t="shared" si="0"/>
        <v>2</v>
      </c>
      <c r="AE25" s="17">
        <f t="shared" si="2"/>
        <v>3</v>
      </c>
      <c r="AF25" s="17">
        <f t="shared" si="3"/>
        <v>1</v>
      </c>
      <c r="AG25" s="19">
        <f t="shared" si="4"/>
        <v>5.2050000000000001</v>
      </c>
    </row>
    <row r="26" spans="2:33" x14ac:dyDescent="0.25">
      <c r="B26" s="236" t="s">
        <v>79</v>
      </c>
      <c r="C26" s="49"/>
      <c r="D26" s="137"/>
      <c r="E26" s="137"/>
      <c r="F26" s="138"/>
      <c r="G26" s="144"/>
      <c r="H26" s="148" t="s">
        <v>50</v>
      </c>
      <c r="I26" s="149">
        <v>0</v>
      </c>
      <c r="J26" s="149">
        <v>1</v>
      </c>
      <c r="K26" s="138">
        <v>8.4</v>
      </c>
      <c r="L26" s="139"/>
      <c r="M26" s="243"/>
      <c r="N26" s="149"/>
      <c r="O26" s="149"/>
      <c r="P26" s="138"/>
      <c r="Q26" s="144"/>
      <c r="R26" s="49"/>
      <c r="S26" s="137"/>
      <c r="T26" s="137"/>
      <c r="U26" s="138"/>
      <c r="V26" s="139"/>
      <c r="W26" s="243" t="s">
        <v>50</v>
      </c>
      <c r="X26" s="149">
        <v>2</v>
      </c>
      <c r="Y26" s="149">
        <v>1</v>
      </c>
      <c r="Z26" s="138">
        <v>4.76</v>
      </c>
      <c r="AA26" s="139"/>
      <c r="AB26" s="15">
        <f t="shared" si="1"/>
        <v>2</v>
      </c>
      <c r="AC26" s="17">
        <f t="shared" si="0"/>
        <v>2</v>
      </c>
      <c r="AD26" s="17">
        <f t="shared" si="0"/>
        <v>2</v>
      </c>
      <c r="AE26" s="17">
        <f t="shared" si="2"/>
        <v>4</v>
      </c>
      <c r="AF26" s="17">
        <f t="shared" si="3"/>
        <v>0</v>
      </c>
      <c r="AG26" s="19">
        <f t="shared" si="4"/>
        <v>6.58</v>
      </c>
    </row>
    <row r="27" spans="2:33" x14ac:dyDescent="0.25">
      <c r="B27" s="236" t="s">
        <v>20</v>
      </c>
      <c r="C27" s="49" t="s">
        <v>50</v>
      </c>
      <c r="D27" s="137">
        <v>1</v>
      </c>
      <c r="E27" s="137">
        <v>1</v>
      </c>
      <c r="F27" s="138">
        <v>5.36</v>
      </c>
      <c r="G27" s="144"/>
      <c r="H27" s="148" t="s">
        <v>50</v>
      </c>
      <c r="I27" s="149">
        <v>1</v>
      </c>
      <c r="J27" s="149">
        <v>3</v>
      </c>
      <c r="K27" s="138">
        <v>5.8</v>
      </c>
      <c r="L27" s="139"/>
      <c r="M27" s="243" t="s">
        <v>50</v>
      </c>
      <c r="N27" s="149">
        <v>1</v>
      </c>
      <c r="O27" s="149">
        <v>2</v>
      </c>
      <c r="P27" s="138">
        <v>6.64</v>
      </c>
      <c r="Q27" s="240" t="s">
        <v>76</v>
      </c>
      <c r="R27" s="49" t="s">
        <v>50</v>
      </c>
      <c r="S27" s="137">
        <v>3</v>
      </c>
      <c r="T27" s="137">
        <v>3</v>
      </c>
      <c r="U27" s="138">
        <v>9.66</v>
      </c>
      <c r="V27" s="134" t="s">
        <v>76</v>
      </c>
      <c r="W27" s="243" t="s">
        <v>50</v>
      </c>
      <c r="X27" s="149">
        <v>2</v>
      </c>
      <c r="Y27" s="149">
        <v>1</v>
      </c>
      <c r="Z27" s="138">
        <v>5.38</v>
      </c>
      <c r="AA27" s="152" t="s">
        <v>76</v>
      </c>
      <c r="AB27" s="15">
        <f t="shared" si="1"/>
        <v>5</v>
      </c>
      <c r="AC27" s="17">
        <f t="shared" si="0"/>
        <v>8</v>
      </c>
      <c r="AD27" s="17">
        <f t="shared" si="0"/>
        <v>10</v>
      </c>
      <c r="AE27" s="17">
        <f t="shared" si="2"/>
        <v>18</v>
      </c>
      <c r="AF27" s="17">
        <f t="shared" si="3"/>
        <v>3</v>
      </c>
      <c r="AG27" s="19">
        <f t="shared" si="4"/>
        <v>6.5680000000000005</v>
      </c>
    </row>
    <row r="28" spans="2:33" x14ac:dyDescent="0.25">
      <c r="B28" s="237" t="s">
        <v>82</v>
      </c>
      <c r="C28" s="9"/>
      <c r="D28" s="159"/>
      <c r="E28" s="159"/>
      <c r="F28" s="4"/>
      <c r="G28" s="37"/>
      <c r="H28" s="9"/>
      <c r="I28" s="159"/>
      <c r="J28" s="159"/>
      <c r="K28" s="4"/>
      <c r="L28" s="10"/>
      <c r="M28" s="23"/>
      <c r="N28" s="159"/>
      <c r="O28" s="159"/>
      <c r="P28" s="4"/>
      <c r="Q28" s="37"/>
      <c r="R28" s="9"/>
      <c r="S28" s="159"/>
      <c r="T28" s="159"/>
      <c r="U28" s="4"/>
      <c r="V28" s="10"/>
      <c r="W28" s="259"/>
      <c r="X28" s="3"/>
      <c r="Y28" s="3"/>
      <c r="Z28" s="4"/>
      <c r="AA28" s="10"/>
      <c r="AB28" s="15">
        <f t="shared" si="1"/>
        <v>0</v>
      </c>
      <c r="AC28" s="17">
        <f t="shared" si="0"/>
        <v>0</v>
      </c>
      <c r="AD28" s="17">
        <f t="shared" si="0"/>
        <v>0</v>
      </c>
      <c r="AE28" s="17">
        <f t="shared" si="2"/>
        <v>0</v>
      </c>
      <c r="AF28" s="17">
        <f t="shared" si="3"/>
        <v>0</v>
      </c>
      <c r="AG28" s="19" t="str">
        <f t="shared" si="4"/>
        <v>-</v>
      </c>
    </row>
    <row r="29" spans="2:33" x14ac:dyDescent="0.25">
      <c r="B29" s="236" t="s">
        <v>21</v>
      </c>
      <c r="C29" s="49"/>
      <c r="D29" s="137"/>
      <c r="E29" s="137"/>
      <c r="F29" s="138"/>
      <c r="G29" s="144"/>
      <c r="H29" s="148"/>
      <c r="I29" s="149"/>
      <c r="J29" s="149"/>
      <c r="K29" s="138"/>
      <c r="L29" s="139"/>
      <c r="M29" s="243"/>
      <c r="N29" s="149"/>
      <c r="O29" s="149"/>
      <c r="P29" s="138"/>
      <c r="Q29" s="144"/>
      <c r="R29" s="49"/>
      <c r="S29" s="137"/>
      <c r="T29" s="137"/>
      <c r="U29" s="138"/>
      <c r="V29" s="139"/>
      <c r="W29" s="243"/>
      <c r="X29" s="149"/>
      <c r="Y29" s="149"/>
      <c r="Z29" s="138"/>
      <c r="AA29" s="139"/>
      <c r="AB29" s="15">
        <f t="shared" si="1"/>
        <v>0</v>
      </c>
      <c r="AC29" s="17">
        <f t="shared" si="0"/>
        <v>0</v>
      </c>
      <c r="AD29" s="17">
        <f t="shared" si="0"/>
        <v>0</v>
      </c>
      <c r="AE29" s="17">
        <f t="shared" si="2"/>
        <v>0</v>
      </c>
      <c r="AF29" s="17">
        <f t="shared" si="3"/>
        <v>0</v>
      </c>
      <c r="AG29" s="19" t="str">
        <f t="shared" si="4"/>
        <v>-</v>
      </c>
    </row>
    <row r="30" spans="2:33" x14ac:dyDescent="0.25">
      <c r="B30" s="236" t="s">
        <v>22</v>
      </c>
      <c r="C30" s="49" t="s">
        <v>50</v>
      </c>
      <c r="D30" s="137">
        <v>2</v>
      </c>
      <c r="E30" s="137">
        <v>1</v>
      </c>
      <c r="F30" s="138">
        <v>4.46</v>
      </c>
      <c r="G30" s="144"/>
      <c r="H30" s="148"/>
      <c r="I30" s="149"/>
      <c r="J30" s="149"/>
      <c r="K30" s="138"/>
      <c r="L30" s="139"/>
      <c r="M30" s="243" t="s">
        <v>50</v>
      </c>
      <c r="N30" s="149">
        <v>5</v>
      </c>
      <c r="O30" s="149">
        <v>2</v>
      </c>
      <c r="P30" s="138">
        <v>7.9</v>
      </c>
      <c r="Q30" s="240" t="s">
        <v>76</v>
      </c>
      <c r="R30" s="49"/>
      <c r="S30" s="137"/>
      <c r="T30" s="137"/>
      <c r="U30" s="138"/>
      <c r="V30" s="139"/>
      <c r="W30" s="243" t="s">
        <v>50</v>
      </c>
      <c r="X30" s="149">
        <v>3</v>
      </c>
      <c r="Y30" s="149">
        <v>0</v>
      </c>
      <c r="Z30" s="138">
        <v>6.76</v>
      </c>
      <c r="AA30" s="152" t="s">
        <v>76</v>
      </c>
      <c r="AB30" s="15">
        <f t="shared" si="1"/>
        <v>3</v>
      </c>
      <c r="AC30" s="17">
        <f t="shared" si="0"/>
        <v>10</v>
      </c>
      <c r="AD30" s="17">
        <f t="shared" si="0"/>
        <v>3</v>
      </c>
      <c r="AE30" s="17">
        <f t="shared" si="2"/>
        <v>13</v>
      </c>
      <c r="AF30" s="17">
        <f t="shared" si="3"/>
        <v>2</v>
      </c>
      <c r="AG30" s="19">
        <f t="shared" si="4"/>
        <v>6.3733333333333322</v>
      </c>
    </row>
    <row r="31" spans="2:33" x14ac:dyDescent="0.25">
      <c r="B31" s="236" t="s">
        <v>23</v>
      </c>
      <c r="C31" s="49" t="s">
        <v>50</v>
      </c>
      <c r="D31" s="137">
        <v>5</v>
      </c>
      <c r="E31" s="137">
        <v>2</v>
      </c>
      <c r="F31" s="138">
        <v>8.2799999999999994</v>
      </c>
      <c r="G31" s="153" t="s">
        <v>76</v>
      </c>
      <c r="H31" s="148"/>
      <c r="I31" s="149"/>
      <c r="J31" s="149"/>
      <c r="K31" s="138"/>
      <c r="L31" s="139"/>
      <c r="M31" s="243"/>
      <c r="N31" s="149"/>
      <c r="O31" s="149"/>
      <c r="P31" s="138"/>
      <c r="Q31" s="144"/>
      <c r="R31" s="49" t="s">
        <v>50</v>
      </c>
      <c r="S31" s="137">
        <v>3</v>
      </c>
      <c r="T31" s="137">
        <v>2</v>
      </c>
      <c r="U31" s="138">
        <v>6.58</v>
      </c>
      <c r="V31" s="139"/>
      <c r="W31" s="243" t="s">
        <v>50</v>
      </c>
      <c r="X31" s="149">
        <v>1</v>
      </c>
      <c r="Y31" s="149">
        <v>1</v>
      </c>
      <c r="Z31" s="138">
        <v>5.7</v>
      </c>
      <c r="AA31" s="152" t="s">
        <v>76</v>
      </c>
      <c r="AB31" s="15">
        <f t="shared" si="1"/>
        <v>3</v>
      </c>
      <c r="AC31" s="17">
        <f t="shared" si="0"/>
        <v>9</v>
      </c>
      <c r="AD31" s="17">
        <f t="shared" si="0"/>
        <v>5</v>
      </c>
      <c r="AE31" s="17">
        <f t="shared" si="2"/>
        <v>14</v>
      </c>
      <c r="AF31" s="17">
        <f t="shared" si="3"/>
        <v>2</v>
      </c>
      <c r="AG31" s="19">
        <f t="shared" si="4"/>
        <v>6.8533333333333326</v>
      </c>
    </row>
    <row r="32" spans="2:33" x14ac:dyDescent="0.25">
      <c r="B32" s="237" t="s">
        <v>84</v>
      </c>
      <c r="C32" s="9"/>
      <c r="D32" s="159"/>
      <c r="E32" s="159"/>
      <c r="F32" s="4"/>
      <c r="G32" s="37"/>
      <c r="H32" s="9"/>
      <c r="I32" s="159"/>
      <c r="J32" s="159"/>
      <c r="K32" s="4"/>
      <c r="L32" s="10"/>
      <c r="M32" s="23"/>
      <c r="N32" s="159"/>
      <c r="O32" s="159"/>
      <c r="P32" s="4"/>
      <c r="Q32" s="37"/>
      <c r="R32" s="9"/>
      <c r="S32" s="159"/>
      <c r="T32" s="159"/>
      <c r="U32" s="4"/>
      <c r="V32" s="10"/>
      <c r="W32" s="259"/>
      <c r="X32" s="3"/>
      <c r="Y32" s="3"/>
      <c r="Z32" s="4"/>
      <c r="AA32" s="10"/>
      <c r="AB32" s="15">
        <f t="shared" si="1"/>
        <v>0</v>
      </c>
      <c r="AC32" s="17">
        <f t="shared" si="0"/>
        <v>0</v>
      </c>
      <c r="AD32" s="17">
        <f t="shared" si="0"/>
        <v>0</v>
      </c>
      <c r="AE32" s="17">
        <f t="shared" si="2"/>
        <v>0</v>
      </c>
      <c r="AF32" s="17">
        <f t="shared" si="3"/>
        <v>0</v>
      </c>
      <c r="AG32" s="19" t="str">
        <f t="shared" si="4"/>
        <v>-</v>
      </c>
    </row>
    <row r="33" spans="2:33" x14ac:dyDescent="0.25">
      <c r="B33" s="236" t="s">
        <v>24</v>
      </c>
      <c r="C33" s="49"/>
      <c r="D33" s="137"/>
      <c r="E33" s="137"/>
      <c r="F33" s="138"/>
      <c r="G33" s="144"/>
      <c r="H33" s="148"/>
      <c r="I33" s="149"/>
      <c r="J33" s="149"/>
      <c r="K33" s="138"/>
      <c r="L33" s="139"/>
      <c r="M33" s="243"/>
      <c r="N33" s="149"/>
      <c r="O33" s="149"/>
      <c r="P33" s="138"/>
      <c r="Q33" s="144"/>
      <c r="R33" s="49"/>
      <c r="S33" s="137"/>
      <c r="T33" s="137"/>
      <c r="U33" s="138"/>
      <c r="V33" s="139"/>
      <c r="W33" s="243"/>
      <c r="X33" s="149"/>
      <c r="Y33" s="149"/>
      <c r="Z33" s="138"/>
      <c r="AA33" s="139"/>
      <c r="AB33" s="15">
        <f t="shared" si="1"/>
        <v>0</v>
      </c>
      <c r="AC33" s="17">
        <f t="shared" si="0"/>
        <v>0</v>
      </c>
      <c r="AD33" s="17">
        <f t="shared" si="0"/>
        <v>0</v>
      </c>
      <c r="AE33" s="17">
        <f t="shared" si="2"/>
        <v>0</v>
      </c>
      <c r="AF33" s="17">
        <f t="shared" si="3"/>
        <v>0</v>
      </c>
      <c r="AG33" s="19" t="str">
        <f t="shared" si="4"/>
        <v>-</v>
      </c>
    </row>
    <row r="34" spans="2:33" x14ac:dyDescent="0.25">
      <c r="B34" s="236" t="s">
        <v>25</v>
      </c>
      <c r="C34" s="49"/>
      <c r="D34" s="137"/>
      <c r="E34" s="137"/>
      <c r="F34" s="138"/>
      <c r="G34" s="144"/>
      <c r="H34" s="148" t="s">
        <v>50</v>
      </c>
      <c r="I34" s="149">
        <v>0</v>
      </c>
      <c r="J34" s="149">
        <v>0</v>
      </c>
      <c r="K34" s="138">
        <v>5.8</v>
      </c>
      <c r="L34" s="139"/>
      <c r="M34" s="243" t="s">
        <v>50</v>
      </c>
      <c r="N34" s="149">
        <v>1</v>
      </c>
      <c r="O34" s="149">
        <v>0</v>
      </c>
      <c r="P34" s="138">
        <v>6</v>
      </c>
      <c r="Q34" s="240" t="s">
        <v>76</v>
      </c>
      <c r="R34" s="49"/>
      <c r="S34" s="137"/>
      <c r="T34" s="137"/>
      <c r="U34" s="138"/>
      <c r="V34" s="139"/>
      <c r="W34" s="243" t="s">
        <v>50</v>
      </c>
      <c r="X34" s="149">
        <v>0</v>
      </c>
      <c r="Y34" s="149">
        <v>1</v>
      </c>
      <c r="Z34" s="138">
        <v>4.72</v>
      </c>
      <c r="AA34" s="139"/>
      <c r="AB34" s="15">
        <f t="shared" si="1"/>
        <v>3</v>
      </c>
      <c r="AC34" s="17">
        <f t="shared" si="0"/>
        <v>1</v>
      </c>
      <c r="AD34" s="17">
        <f t="shared" si="0"/>
        <v>1</v>
      </c>
      <c r="AE34" s="17">
        <f t="shared" si="2"/>
        <v>2</v>
      </c>
      <c r="AF34" s="17">
        <f t="shared" si="3"/>
        <v>1</v>
      </c>
      <c r="AG34" s="19">
        <f t="shared" si="4"/>
        <v>5.5066666666666668</v>
      </c>
    </row>
    <row r="35" spans="2:33" x14ac:dyDescent="0.25">
      <c r="B35" s="236" t="s">
        <v>26</v>
      </c>
      <c r="C35" s="49" t="s">
        <v>50</v>
      </c>
      <c r="D35" s="137">
        <v>1</v>
      </c>
      <c r="E35" s="137">
        <v>4</v>
      </c>
      <c r="F35" s="138">
        <v>7.18</v>
      </c>
      <c r="G35" s="144"/>
      <c r="H35" s="148" t="s">
        <v>50</v>
      </c>
      <c r="I35" s="149">
        <v>2</v>
      </c>
      <c r="J35" s="149">
        <v>0</v>
      </c>
      <c r="K35" s="138">
        <v>7.4</v>
      </c>
      <c r="L35" s="139"/>
      <c r="M35" s="243" t="s">
        <v>50</v>
      </c>
      <c r="N35" s="149">
        <v>2</v>
      </c>
      <c r="O35" s="149">
        <v>0</v>
      </c>
      <c r="P35" s="138">
        <v>5</v>
      </c>
      <c r="Q35" s="144"/>
      <c r="R35" s="49" t="s">
        <v>50</v>
      </c>
      <c r="S35" s="137">
        <v>1</v>
      </c>
      <c r="T35" s="137">
        <v>0</v>
      </c>
      <c r="U35" s="138">
        <v>5.92</v>
      </c>
      <c r="V35" s="139"/>
      <c r="W35" s="243" t="s">
        <v>50</v>
      </c>
      <c r="X35" s="149">
        <v>0</v>
      </c>
      <c r="Y35" s="149">
        <v>0</v>
      </c>
      <c r="Z35" s="138">
        <v>5.24</v>
      </c>
      <c r="AA35" s="139"/>
      <c r="AB35" s="15">
        <f t="shared" si="1"/>
        <v>5</v>
      </c>
      <c r="AC35" s="17">
        <f t="shared" si="0"/>
        <v>6</v>
      </c>
      <c r="AD35" s="17">
        <f t="shared" si="0"/>
        <v>4</v>
      </c>
      <c r="AE35" s="17">
        <f t="shared" si="2"/>
        <v>10</v>
      </c>
      <c r="AF35" s="17">
        <f t="shared" si="3"/>
        <v>0</v>
      </c>
      <c r="AG35" s="19">
        <f t="shared" si="4"/>
        <v>6.1480000000000006</v>
      </c>
    </row>
    <row r="36" spans="2:33" x14ac:dyDescent="0.25">
      <c r="B36" s="236" t="s">
        <v>27</v>
      </c>
      <c r="C36" s="49" t="s">
        <v>50</v>
      </c>
      <c r="D36" s="137">
        <v>0</v>
      </c>
      <c r="E36" s="137">
        <v>3</v>
      </c>
      <c r="F36" s="138">
        <v>7.34</v>
      </c>
      <c r="G36" s="153" t="s">
        <v>76</v>
      </c>
      <c r="H36" s="148" t="s">
        <v>50</v>
      </c>
      <c r="I36" s="149">
        <v>0</v>
      </c>
      <c r="J36" s="149">
        <v>2</v>
      </c>
      <c r="K36" s="138">
        <v>4.8</v>
      </c>
      <c r="L36" s="139"/>
      <c r="M36" s="243" t="s">
        <v>50</v>
      </c>
      <c r="N36" s="149">
        <v>0</v>
      </c>
      <c r="O36" s="149">
        <v>0</v>
      </c>
      <c r="P36" s="138">
        <v>4</v>
      </c>
      <c r="Q36" s="144"/>
      <c r="R36" s="49" t="s">
        <v>50</v>
      </c>
      <c r="S36" s="137">
        <v>0</v>
      </c>
      <c r="T36" s="137">
        <v>0</v>
      </c>
      <c r="U36" s="138">
        <v>5.3</v>
      </c>
      <c r="V36" s="134" t="s">
        <v>76</v>
      </c>
      <c r="W36" s="243" t="s">
        <v>50</v>
      </c>
      <c r="X36" s="149">
        <v>0</v>
      </c>
      <c r="Y36" s="149">
        <v>0</v>
      </c>
      <c r="Z36" s="138">
        <v>4.08</v>
      </c>
      <c r="AA36" s="139"/>
      <c r="AB36" s="15">
        <f t="shared" si="1"/>
        <v>5</v>
      </c>
      <c r="AC36" s="17">
        <f t="shared" si="0"/>
        <v>0</v>
      </c>
      <c r="AD36" s="17">
        <f t="shared" si="0"/>
        <v>5</v>
      </c>
      <c r="AE36" s="17">
        <f t="shared" si="2"/>
        <v>5</v>
      </c>
      <c r="AF36" s="17">
        <f t="shared" si="3"/>
        <v>2</v>
      </c>
      <c r="AG36" s="19">
        <f t="shared" si="4"/>
        <v>5.104000000000001</v>
      </c>
    </row>
    <row r="37" spans="2:33" x14ac:dyDescent="0.25">
      <c r="B37" s="236" t="s">
        <v>28</v>
      </c>
      <c r="C37" s="49"/>
      <c r="D37" s="137"/>
      <c r="E37" s="137"/>
      <c r="F37" s="138"/>
      <c r="G37" s="144"/>
      <c r="H37" s="148"/>
      <c r="I37" s="149"/>
      <c r="J37" s="149"/>
      <c r="K37" s="138"/>
      <c r="L37" s="139"/>
      <c r="M37" s="243"/>
      <c r="N37" s="149"/>
      <c r="O37" s="149"/>
      <c r="P37" s="138"/>
      <c r="Q37" s="144"/>
      <c r="R37" s="49"/>
      <c r="S37" s="137"/>
      <c r="T37" s="137"/>
      <c r="U37" s="138"/>
      <c r="V37" s="139"/>
      <c r="W37" s="243"/>
      <c r="X37" s="149"/>
      <c r="Y37" s="149"/>
      <c r="Z37" s="138"/>
      <c r="AA37" s="139"/>
      <c r="AB37" s="15">
        <f t="shared" si="1"/>
        <v>0</v>
      </c>
      <c r="AC37" s="17">
        <f t="shared" si="0"/>
        <v>0</v>
      </c>
      <c r="AD37" s="17">
        <f t="shared" si="0"/>
        <v>0</v>
      </c>
      <c r="AE37" s="17">
        <f t="shared" si="2"/>
        <v>0</v>
      </c>
      <c r="AF37" s="17">
        <f t="shared" si="3"/>
        <v>0</v>
      </c>
      <c r="AG37" s="19" t="str">
        <f t="shared" si="4"/>
        <v>-</v>
      </c>
    </row>
    <row r="38" spans="2:33" x14ac:dyDescent="0.25">
      <c r="B38" s="236" t="s">
        <v>77</v>
      </c>
      <c r="C38" s="49"/>
      <c r="D38" s="137"/>
      <c r="E38" s="137"/>
      <c r="F38" s="138"/>
      <c r="G38" s="144"/>
      <c r="H38" s="148"/>
      <c r="I38" s="149"/>
      <c r="J38" s="149"/>
      <c r="K38" s="138"/>
      <c r="L38" s="139"/>
      <c r="M38" s="243"/>
      <c r="N38" s="149"/>
      <c r="O38" s="149"/>
      <c r="P38" s="138"/>
      <c r="Q38" s="144"/>
      <c r="R38" s="49"/>
      <c r="S38" s="137"/>
      <c r="T38" s="137"/>
      <c r="U38" s="138"/>
      <c r="V38" s="139"/>
      <c r="W38" s="243"/>
      <c r="X38" s="149"/>
      <c r="Y38" s="149"/>
      <c r="Z38" s="138"/>
      <c r="AA38" s="139"/>
      <c r="AB38" s="15">
        <f t="shared" si="1"/>
        <v>0</v>
      </c>
      <c r="AC38" s="17">
        <f t="shared" si="0"/>
        <v>0</v>
      </c>
      <c r="AD38" s="17">
        <f t="shared" si="0"/>
        <v>0</v>
      </c>
      <c r="AE38" s="17">
        <f t="shared" si="2"/>
        <v>0</v>
      </c>
      <c r="AF38" s="17">
        <f t="shared" si="3"/>
        <v>0</v>
      </c>
      <c r="AG38" s="19" t="str">
        <f t="shared" si="4"/>
        <v>-</v>
      </c>
    </row>
    <row r="39" spans="2:33" x14ac:dyDescent="0.25">
      <c r="B39" s="236" t="s">
        <v>29</v>
      </c>
      <c r="C39" s="49"/>
      <c r="D39" s="137"/>
      <c r="E39" s="137"/>
      <c r="F39" s="138"/>
      <c r="G39" s="144"/>
      <c r="H39" s="148"/>
      <c r="I39" s="149"/>
      <c r="J39" s="149"/>
      <c r="K39" s="138"/>
      <c r="L39" s="139"/>
      <c r="M39" s="243"/>
      <c r="N39" s="149"/>
      <c r="O39" s="149"/>
      <c r="P39" s="138"/>
      <c r="Q39" s="144"/>
      <c r="R39" s="49" t="s">
        <v>50</v>
      </c>
      <c r="S39" s="137">
        <v>0</v>
      </c>
      <c r="T39" s="137">
        <v>0</v>
      </c>
      <c r="U39" s="138">
        <v>6.26</v>
      </c>
      <c r="V39" s="134" t="s">
        <v>76</v>
      </c>
      <c r="W39" s="243"/>
      <c r="X39" s="149"/>
      <c r="Y39" s="149"/>
      <c r="Z39" s="138"/>
      <c r="AA39" s="139"/>
      <c r="AB39" s="15">
        <f t="shared" si="1"/>
        <v>1</v>
      </c>
      <c r="AC39" s="17">
        <f t="shared" si="0"/>
        <v>0</v>
      </c>
      <c r="AD39" s="17">
        <f t="shared" si="0"/>
        <v>0</v>
      </c>
      <c r="AE39" s="17">
        <f t="shared" si="2"/>
        <v>0</v>
      </c>
      <c r="AF39" s="17">
        <f t="shared" si="3"/>
        <v>1</v>
      </c>
      <c r="AG39" s="19">
        <f t="shared" si="4"/>
        <v>6.26</v>
      </c>
    </row>
    <row r="40" spans="2:33" x14ac:dyDescent="0.25">
      <c r="B40" s="236" t="s">
        <v>30</v>
      </c>
      <c r="C40" s="49" t="s">
        <v>50</v>
      </c>
      <c r="D40" s="137">
        <v>0</v>
      </c>
      <c r="E40" s="137">
        <v>0</v>
      </c>
      <c r="F40" s="138">
        <v>4.5</v>
      </c>
      <c r="G40" s="144"/>
      <c r="H40" s="148"/>
      <c r="I40" s="149"/>
      <c r="J40" s="149"/>
      <c r="K40" s="138"/>
      <c r="L40" s="139"/>
      <c r="M40" s="243"/>
      <c r="N40" s="149"/>
      <c r="O40" s="149"/>
      <c r="P40" s="138"/>
      <c r="Q40" s="144"/>
      <c r="R40" s="49"/>
      <c r="S40" s="137"/>
      <c r="T40" s="137"/>
      <c r="U40" s="138"/>
      <c r="V40" s="139"/>
      <c r="W40" s="243"/>
      <c r="X40" s="149"/>
      <c r="Y40" s="149"/>
      <c r="Z40" s="138"/>
      <c r="AA40" s="139"/>
      <c r="AB40" s="15">
        <f t="shared" si="1"/>
        <v>1</v>
      </c>
      <c r="AC40" s="17">
        <f t="shared" si="0"/>
        <v>0</v>
      </c>
      <c r="AD40" s="17">
        <f t="shared" si="0"/>
        <v>0</v>
      </c>
      <c r="AE40" s="17">
        <f t="shared" si="2"/>
        <v>0</v>
      </c>
      <c r="AF40" s="17">
        <f t="shared" si="3"/>
        <v>0</v>
      </c>
      <c r="AG40" s="19">
        <f t="shared" si="4"/>
        <v>4.5</v>
      </c>
    </row>
    <row r="41" spans="2:33" x14ac:dyDescent="0.25">
      <c r="B41" s="236" t="s">
        <v>31</v>
      </c>
      <c r="C41" s="49" t="s">
        <v>50</v>
      </c>
      <c r="D41" s="137">
        <v>0</v>
      </c>
      <c r="E41" s="137">
        <v>1</v>
      </c>
      <c r="F41" s="138">
        <v>5.54</v>
      </c>
      <c r="G41" s="144"/>
      <c r="H41" s="148" t="s">
        <v>50</v>
      </c>
      <c r="I41" s="149">
        <v>0</v>
      </c>
      <c r="J41" s="149">
        <v>1</v>
      </c>
      <c r="K41" s="138">
        <v>7</v>
      </c>
      <c r="L41" s="139"/>
      <c r="M41" s="243" t="s">
        <v>50</v>
      </c>
      <c r="N41" s="149">
        <v>0</v>
      </c>
      <c r="O41" s="149">
        <v>2</v>
      </c>
      <c r="P41" s="138">
        <v>5.64</v>
      </c>
      <c r="Q41" s="144"/>
      <c r="R41" s="49"/>
      <c r="S41" s="137"/>
      <c r="T41" s="137"/>
      <c r="U41" s="138"/>
      <c r="V41" s="139"/>
      <c r="W41" s="243" t="s">
        <v>50</v>
      </c>
      <c r="X41" s="149">
        <v>0</v>
      </c>
      <c r="Y41" s="149">
        <v>0</v>
      </c>
      <c r="Z41" s="138">
        <v>6.14</v>
      </c>
      <c r="AA41" s="152" t="s">
        <v>76</v>
      </c>
      <c r="AB41" s="15">
        <f t="shared" si="1"/>
        <v>4</v>
      </c>
      <c r="AC41" s="17">
        <f t="shared" si="0"/>
        <v>0</v>
      </c>
      <c r="AD41" s="17">
        <f t="shared" si="0"/>
        <v>4</v>
      </c>
      <c r="AE41" s="17">
        <f t="shared" si="2"/>
        <v>4</v>
      </c>
      <c r="AF41" s="17">
        <f t="shared" si="3"/>
        <v>1</v>
      </c>
      <c r="AG41" s="19">
        <f t="shared" si="4"/>
        <v>6.08</v>
      </c>
    </row>
    <row r="42" spans="2:33" x14ac:dyDescent="0.25">
      <c r="B42" s="236" t="s">
        <v>32</v>
      </c>
      <c r="C42" s="49"/>
      <c r="D42" s="137"/>
      <c r="E42" s="137"/>
      <c r="F42" s="138"/>
      <c r="G42" s="144"/>
      <c r="H42" s="148"/>
      <c r="I42" s="149"/>
      <c r="J42" s="149"/>
      <c r="K42" s="138"/>
      <c r="L42" s="139"/>
      <c r="M42" s="243"/>
      <c r="N42" s="149"/>
      <c r="O42" s="149"/>
      <c r="P42" s="138"/>
      <c r="Q42" s="144"/>
      <c r="R42" s="49"/>
      <c r="S42" s="137"/>
      <c r="T42" s="137"/>
      <c r="U42" s="138"/>
      <c r="V42" s="139"/>
      <c r="W42" s="243"/>
      <c r="X42" s="149"/>
      <c r="Y42" s="149"/>
      <c r="Z42" s="138"/>
      <c r="AA42" s="139"/>
      <c r="AB42" s="15">
        <f t="shared" si="1"/>
        <v>0</v>
      </c>
      <c r="AC42" s="17">
        <f t="shared" si="0"/>
        <v>0</v>
      </c>
      <c r="AD42" s="17">
        <f t="shared" si="0"/>
        <v>0</v>
      </c>
      <c r="AE42" s="17">
        <f t="shared" si="2"/>
        <v>0</v>
      </c>
      <c r="AF42" s="17">
        <f t="shared" si="3"/>
        <v>0</v>
      </c>
      <c r="AG42" s="19" t="str">
        <f t="shared" si="4"/>
        <v>-</v>
      </c>
    </row>
    <row r="43" spans="2:33" x14ac:dyDescent="0.25">
      <c r="B43" s="236" t="s">
        <v>33</v>
      </c>
      <c r="C43" s="49"/>
      <c r="D43" s="137"/>
      <c r="E43" s="137"/>
      <c r="F43" s="138"/>
      <c r="G43" s="144"/>
      <c r="H43" s="148"/>
      <c r="I43" s="149"/>
      <c r="J43" s="149"/>
      <c r="K43" s="138"/>
      <c r="L43" s="139"/>
      <c r="M43" s="243"/>
      <c r="N43" s="149"/>
      <c r="O43" s="149"/>
      <c r="P43" s="138"/>
      <c r="Q43" s="144"/>
      <c r="R43" s="49"/>
      <c r="S43" s="137"/>
      <c r="T43" s="137"/>
      <c r="U43" s="138"/>
      <c r="V43" s="139"/>
      <c r="W43" s="243"/>
      <c r="X43" s="149"/>
      <c r="Y43" s="149"/>
      <c r="Z43" s="138"/>
      <c r="AA43" s="139"/>
      <c r="AB43" s="15">
        <f t="shared" si="1"/>
        <v>0</v>
      </c>
      <c r="AC43" s="17">
        <f t="shared" si="0"/>
        <v>0</v>
      </c>
      <c r="AD43" s="17">
        <f t="shared" si="0"/>
        <v>0</v>
      </c>
      <c r="AE43" s="17">
        <f t="shared" si="2"/>
        <v>0</v>
      </c>
      <c r="AF43" s="17">
        <f t="shared" si="3"/>
        <v>0</v>
      </c>
      <c r="AG43" s="19" t="str">
        <f t="shared" si="4"/>
        <v>-</v>
      </c>
    </row>
    <row r="44" spans="2:33" x14ac:dyDescent="0.25">
      <c r="B44" s="236" t="s">
        <v>34</v>
      </c>
      <c r="C44" s="49"/>
      <c r="D44" s="137"/>
      <c r="E44" s="137"/>
      <c r="F44" s="138"/>
      <c r="G44" s="144"/>
      <c r="H44" s="148"/>
      <c r="I44" s="149"/>
      <c r="J44" s="149"/>
      <c r="K44" s="138"/>
      <c r="L44" s="139"/>
      <c r="M44" s="243"/>
      <c r="N44" s="149"/>
      <c r="O44" s="149"/>
      <c r="P44" s="138"/>
      <c r="Q44" s="144"/>
      <c r="R44" s="49" t="s">
        <v>50</v>
      </c>
      <c r="S44" s="137">
        <v>0</v>
      </c>
      <c r="T44" s="137">
        <v>0</v>
      </c>
      <c r="U44" s="138">
        <v>5.16</v>
      </c>
      <c r="V44" s="139"/>
      <c r="W44" s="243"/>
      <c r="X44" s="149"/>
      <c r="Y44" s="149"/>
      <c r="Z44" s="138"/>
      <c r="AA44" s="139"/>
      <c r="AB44" s="15">
        <f t="shared" si="1"/>
        <v>1</v>
      </c>
      <c r="AC44" s="17">
        <f t="shared" si="0"/>
        <v>0</v>
      </c>
      <c r="AD44" s="17">
        <f t="shared" si="0"/>
        <v>0</v>
      </c>
      <c r="AE44" s="17">
        <f t="shared" si="2"/>
        <v>0</v>
      </c>
      <c r="AF44" s="17">
        <f t="shared" si="3"/>
        <v>0</v>
      </c>
      <c r="AG44" s="19">
        <f t="shared" si="4"/>
        <v>5.16</v>
      </c>
    </row>
    <row r="45" spans="2:33" x14ac:dyDescent="0.25">
      <c r="B45" s="236" t="s">
        <v>35</v>
      </c>
      <c r="C45" s="49"/>
      <c r="D45" s="137"/>
      <c r="E45" s="137"/>
      <c r="F45" s="138"/>
      <c r="G45" s="144"/>
      <c r="H45" s="148" t="s">
        <v>50</v>
      </c>
      <c r="I45" s="149">
        <v>2</v>
      </c>
      <c r="J45" s="149">
        <v>0</v>
      </c>
      <c r="K45" s="138">
        <v>4.4000000000000004</v>
      </c>
      <c r="L45" s="139"/>
      <c r="M45" s="243" t="s">
        <v>50</v>
      </c>
      <c r="N45" s="149">
        <v>3</v>
      </c>
      <c r="O45" s="149">
        <v>2</v>
      </c>
      <c r="P45" s="138">
        <v>6.7</v>
      </c>
      <c r="Q45" s="240" t="s">
        <v>76</v>
      </c>
      <c r="R45" s="49" t="s">
        <v>50</v>
      </c>
      <c r="S45" s="137">
        <v>1</v>
      </c>
      <c r="T45" s="137">
        <v>1</v>
      </c>
      <c r="U45" s="138">
        <v>6.5</v>
      </c>
      <c r="V45" s="139"/>
      <c r="W45" s="243" t="s">
        <v>50</v>
      </c>
      <c r="X45" s="149">
        <v>0</v>
      </c>
      <c r="Y45" s="149">
        <v>1</v>
      </c>
      <c r="Z45" s="138">
        <v>5.7</v>
      </c>
      <c r="AA45" s="152" t="s">
        <v>76</v>
      </c>
      <c r="AB45" s="15">
        <f t="shared" si="1"/>
        <v>4</v>
      </c>
      <c r="AC45" s="17">
        <f t="shared" si="0"/>
        <v>6</v>
      </c>
      <c r="AD45" s="17">
        <f t="shared" si="0"/>
        <v>4</v>
      </c>
      <c r="AE45" s="17">
        <f t="shared" si="2"/>
        <v>10</v>
      </c>
      <c r="AF45" s="17">
        <f t="shared" si="3"/>
        <v>2</v>
      </c>
      <c r="AG45" s="19">
        <f t="shared" si="4"/>
        <v>5.8250000000000002</v>
      </c>
    </row>
    <row r="46" spans="2:33" x14ac:dyDescent="0.25">
      <c r="B46" s="236" t="s">
        <v>36</v>
      </c>
      <c r="C46" s="49"/>
      <c r="D46" s="137"/>
      <c r="E46" s="137"/>
      <c r="F46" s="138"/>
      <c r="G46" s="144"/>
      <c r="H46" s="148"/>
      <c r="I46" s="149"/>
      <c r="J46" s="149"/>
      <c r="K46" s="138"/>
      <c r="L46" s="139"/>
      <c r="M46" s="243"/>
      <c r="N46" s="149"/>
      <c r="O46" s="149"/>
      <c r="P46" s="138"/>
      <c r="Q46" s="144"/>
      <c r="R46" s="49"/>
      <c r="S46" s="137"/>
      <c r="T46" s="137"/>
      <c r="U46" s="138"/>
      <c r="V46" s="139"/>
      <c r="W46" s="243" t="s">
        <v>50</v>
      </c>
      <c r="X46" s="149">
        <v>0</v>
      </c>
      <c r="Y46" s="149">
        <v>0</v>
      </c>
      <c r="Z46" s="138">
        <v>4.54</v>
      </c>
      <c r="AA46" s="139"/>
      <c r="AB46" s="15">
        <f t="shared" si="1"/>
        <v>1</v>
      </c>
      <c r="AC46" s="17">
        <f t="shared" si="0"/>
        <v>0</v>
      </c>
      <c r="AD46" s="17">
        <f t="shared" si="0"/>
        <v>0</v>
      </c>
      <c r="AE46" s="17">
        <f t="shared" si="2"/>
        <v>0</v>
      </c>
      <c r="AF46" s="17">
        <f t="shared" si="3"/>
        <v>0</v>
      </c>
      <c r="AG46" s="19">
        <f t="shared" si="4"/>
        <v>4.54</v>
      </c>
    </row>
    <row r="47" spans="2:33" x14ac:dyDescent="0.25">
      <c r="B47" s="236" t="s">
        <v>37</v>
      </c>
      <c r="C47" s="49" t="s">
        <v>50</v>
      </c>
      <c r="D47" s="137">
        <v>0</v>
      </c>
      <c r="E47" s="137">
        <v>0</v>
      </c>
      <c r="F47" s="138">
        <v>5.54</v>
      </c>
      <c r="G47" s="144"/>
      <c r="H47" s="148" t="s">
        <v>50</v>
      </c>
      <c r="I47" s="149">
        <v>1</v>
      </c>
      <c r="J47" s="149">
        <v>1</v>
      </c>
      <c r="K47" s="138">
        <v>6.4</v>
      </c>
      <c r="L47" s="139"/>
      <c r="M47" s="243" t="s">
        <v>50</v>
      </c>
      <c r="N47" s="149">
        <v>0</v>
      </c>
      <c r="O47" s="149">
        <v>0</v>
      </c>
      <c r="P47" s="138">
        <v>5.6</v>
      </c>
      <c r="Q47" s="144"/>
      <c r="R47" s="49" t="s">
        <v>50</v>
      </c>
      <c r="S47" s="137">
        <v>0</v>
      </c>
      <c r="T47" s="137">
        <v>0</v>
      </c>
      <c r="U47" s="138">
        <v>6.92</v>
      </c>
      <c r="V47" s="134" t="s">
        <v>76</v>
      </c>
      <c r="W47" s="243" t="s">
        <v>50</v>
      </c>
      <c r="X47" s="149">
        <v>0</v>
      </c>
      <c r="Y47" s="149">
        <v>0</v>
      </c>
      <c r="Z47" s="138">
        <v>5.16</v>
      </c>
      <c r="AA47" s="139"/>
      <c r="AB47" s="15">
        <f t="shared" si="1"/>
        <v>5</v>
      </c>
      <c r="AC47" s="17">
        <f t="shared" ref="AC47:AD49" si="5">SUM(D47,I47,N47,S47,X47)</f>
        <v>1</v>
      </c>
      <c r="AD47" s="17">
        <f t="shared" si="5"/>
        <v>1</v>
      </c>
      <c r="AE47" s="17">
        <f t="shared" si="2"/>
        <v>2</v>
      </c>
      <c r="AF47" s="17">
        <f t="shared" si="3"/>
        <v>1</v>
      </c>
      <c r="AG47" s="19">
        <f t="shared" si="4"/>
        <v>5.9240000000000004</v>
      </c>
    </row>
    <row r="48" spans="2:33" x14ac:dyDescent="0.25">
      <c r="B48" s="237" t="s">
        <v>85</v>
      </c>
      <c r="C48" s="9"/>
      <c r="D48" s="159"/>
      <c r="E48" s="159"/>
      <c r="F48" s="4"/>
      <c r="G48" s="37"/>
      <c r="H48" s="9"/>
      <c r="I48" s="159"/>
      <c r="J48" s="159"/>
      <c r="K48" s="4"/>
      <c r="L48" s="10"/>
      <c r="M48" s="23"/>
      <c r="N48" s="159"/>
      <c r="O48" s="159"/>
      <c r="P48" s="4"/>
      <c r="Q48" s="37"/>
      <c r="R48" s="9"/>
      <c r="S48" s="159"/>
      <c r="T48" s="159"/>
      <c r="U48" s="4"/>
      <c r="V48" s="10"/>
      <c r="W48" s="259"/>
      <c r="X48" s="3"/>
      <c r="Y48" s="3"/>
      <c r="Z48" s="4"/>
      <c r="AA48" s="10"/>
      <c r="AB48" s="15">
        <f t="shared" si="1"/>
        <v>0</v>
      </c>
      <c r="AC48" s="17">
        <f t="shared" si="5"/>
        <v>0</v>
      </c>
      <c r="AD48" s="17">
        <f t="shared" si="5"/>
        <v>0</v>
      </c>
      <c r="AE48" s="17">
        <f t="shared" si="2"/>
        <v>0</v>
      </c>
      <c r="AF48" s="17">
        <f t="shared" si="3"/>
        <v>0</v>
      </c>
      <c r="AG48" s="19" t="str">
        <f t="shared" si="4"/>
        <v>-</v>
      </c>
    </row>
    <row r="49" spans="2:33" x14ac:dyDescent="0.25">
      <c r="B49" s="236" t="s">
        <v>38</v>
      </c>
      <c r="C49" s="49"/>
      <c r="D49" s="137"/>
      <c r="E49" s="137"/>
      <c r="F49" s="138"/>
      <c r="G49" s="144"/>
      <c r="H49" s="148"/>
      <c r="I49" s="149"/>
      <c r="J49" s="149"/>
      <c r="K49" s="138"/>
      <c r="L49" s="139"/>
      <c r="M49" s="243"/>
      <c r="N49" s="149"/>
      <c r="O49" s="149"/>
      <c r="P49" s="138"/>
      <c r="Q49" s="144"/>
      <c r="R49" s="49"/>
      <c r="S49" s="137"/>
      <c r="T49" s="137"/>
      <c r="U49" s="138"/>
      <c r="V49" s="139"/>
      <c r="W49" s="243"/>
      <c r="X49" s="149"/>
      <c r="Y49" s="149"/>
      <c r="Z49" s="138"/>
      <c r="AA49" s="139"/>
      <c r="AB49" s="15">
        <f t="shared" si="1"/>
        <v>0</v>
      </c>
      <c r="AC49" s="17">
        <f t="shared" si="5"/>
        <v>0</v>
      </c>
      <c r="AD49" s="17">
        <f t="shared" si="5"/>
        <v>0</v>
      </c>
      <c r="AE49" s="17">
        <f t="shared" si="2"/>
        <v>0</v>
      </c>
      <c r="AF49" s="17">
        <f t="shared" si="3"/>
        <v>0</v>
      </c>
      <c r="AG49" s="19" t="str">
        <f t="shared" si="4"/>
        <v>-</v>
      </c>
    </row>
    <row r="50" spans="2:33" x14ac:dyDescent="0.25">
      <c r="B50" s="236" t="s">
        <v>39</v>
      </c>
      <c r="C50" s="49"/>
      <c r="D50" s="137"/>
      <c r="E50" s="137"/>
      <c r="F50" s="138"/>
      <c r="G50" s="144"/>
      <c r="H50" s="148"/>
      <c r="I50" s="149"/>
      <c r="J50" s="149"/>
      <c r="K50" s="138"/>
      <c r="L50" s="139"/>
      <c r="M50" s="243"/>
      <c r="N50" s="149"/>
      <c r="O50" s="149"/>
      <c r="P50" s="138"/>
      <c r="Q50" s="144"/>
      <c r="R50" s="49"/>
      <c r="S50" s="137"/>
      <c r="T50" s="137"/>
      <c r="U50" s="138"/>
      <c r="V50" s="139"/>
      <c r="W50" s="243"/>
      <c r="X50" s="149"/>
      <c r="Y50" s="149"/>
      <c r="Z50" s="138"/>
      <c r="AA50" s="139"/>
      <c r="AB50" s="15">
        <f t="shared" ref="AB50" si="6">COUNTIF(C50:Z50,"P")</f>
        <v>0</v>
      </c>
      <c r="AC50" s="17">
        <f t="shared" ref="AC50" si="7">SUM(D50,I50,N50,S50,X50)</f>
        <v>0</v>
      </c>
      <c r="AD50" s="17">
        <f t="shared" ref="AD50" si="8">SUM(E50,J50,O50,T50,Y50)</f>
        <v>0</v>
      </c>
      <c r="AE50" s="17">
        <f t="shared" ref="AE50" si="9">SUM(AC50+AD50)</f>
        <v>0</v>
      </c>
      <c r="AF50" s="17">
        <f t="shared" ref="AF50" si="10">COUNTIF(G50:AA50,"F")</f>
        <v>0</v>
      </c>
      <c r="AG50" s="19" t="str">
        <f t="shared" ref="AG50" si="11">IFERROR(AVERAGE(F50,K50,P50,U50,Z50),"-")</f>
        <v>-</v>
      </c>
    </row>
    <row r="51" spans="2:33" x14ac:dyDescent="0.25">
      <c r="B51" s="237" t="s">
        <v>80</v>
      </c>
      <c r="C51" s="49"/>
      <c r="D51" s="137"/>
      <c r="E51" s="137"/>
      <c r="F51" s="138"/>
      <c r="G51" s="144"/>
      <c r="H51" s="148"/>
      <c r="I51" s="149"/>
      <c r="J51" s="149"/>
      <c r="K51" s="138"/>
      <c r="L51" s="139"/>
      <c r="M51" s="243"/>
      <c r="N51" s="149"/>
      <c r="O51" s="149"/>
      <c r="P51" s="138"/>
      <c r="Q51" s="144"/>
      <c r="R51" s="49"/>
      <c r="S51" s="137"/>
      <c r="T51" s="137"/>
      <c r="U51" s="138"/>
      <c r="V51" s="139"/>
      <c r="W51" s="243"/>
      <c r="X51" s="149"/>
      <c r="Y51" s="149"/>
      <c r="Z51" s="138"/>
      <c r="AA51" s="139"/>
      <c r="AB51" s="15">
        <f t="shared" ref="AB51:AB52" si="12">COUNTIF(C51:Z51,"P")</f>
        <v>0</v>
      </c>
      <c r="AC51" s="17">
        <f t="shared" ref="AC51:AC52" si="13">SUM(D51,I51,N51,S51,X51)</f>
        <v>0</v>
      </c>
      <c r="AD51" s="17">
        <f t="shared" ref="AD51:AD52" si="14">SUM(E51,J51,O51,T51,Y51)</f>
        <v>0</v>
      </c>
      <c r="AE51" s="17">
        <f t="shared" ref="AE51:AE52" si="15">SUM(AC51+AD51)</f>
        <v>0</v>
      </c>
      <c r="AF51" s="17">
        <f t="shared" ref="AF51:AF52" si="16">COUNTIF(G51:AA51,"F")</f>
        <v>0</v>
      </c>
      <c r="AG51" s="19" t="str">
        <f t="shared" ref="AG51:AG52" si="17">IFERROR(AVERAGE(F51,K51,P51,U51,Z51),"-")</f>
        <v>-</v>
      </c>
    </row>
    <row r="52" spans="2:33" ht="15.75" thickBot="1" x14ac:dyDescent="0.3">
      <c r="B52" s="238" t="s">
        <v>81</v>
      </c>
      <c r="C52" s="50"/>
      <c r="D52" s="140"/>
      <c r="E52" s="140"/>
      <c r="F52" s="141"/>
      <c r="G52" s="146"/>
      <c r="H52" s="150"/>
      <c r="I52" s="151"/>
      <c r="J52" s="151"/>
      <c r="K52" s="141"/>
      <c r="L52" s="142"/>
      <c r="M52" s="244"/>
      <c r="N52" s="151"/>
      <c r="O52" s="151"/>
      <c r="P52" s="141"/>
      <c r="Q52" s="146"/>
      <c r="R52" s="50"/>
      <c r="S52" s="140"/>
      <c r="T52" s="140"/>
      <c r="U52" s="141"/>
      <c r="V52" s="142"/>
      <c r="W52" s="244"/>
      <c r="X52" s="151"/>
      <c r="Y52" s="151"/>
      <c r="Z52" s="141"/>
      <c r="AA52" s="142"/>
      <c r="AB52" s="16">
        <f t="shared" si="12"/>
        <v>0</v>
      </c>
      <c r="AC52" s="18">
        <f t="shared" si="13"/>
        <v>0</v>
      </c>
      <c r="AD52" s="18">
        <f t="shared" si="14"/>
        <v>0</v>
      </c>
      <c r="AE52" s="18">
        <f t="shared" si="15"/>
        <v>0</v>
      </c>
      <c r="AF52" s="18">
        <f t="shared" si="16"/>
        <v>0</v>
      </c>
      <c r="AG52" s="25" t="str">
        <f t="shared" si="17"/>
        <v>-</v>
      </c>
    </row>
    <row r="53" spans="2:33" x14ac:dyDescent="0.25">
      <c r="B53" s="93"/>
      <c r="C53" s="166"/>
      <c r="D53" s="166"/>
      <c r="E53" s="166"/>
      <c r="F53" s="167"/>
      <c r="G53" s="167"/>
      <c r="H53" s="167"/>
      <c r="I53" s="168"/>
      <c r="J53" s="168"/>
      <c r="K53" s="167"/>
      <c r="L53" s="167"/>
      <c r="M53" s="167"/>
      <c r="N53" s="168"/>
      <c r="O53" s="168"/>
      <c r="P53" s="167"/>
      <c r="Q53" s="167"/>
      <c r="R53" s="166"/>
      <c r="S53" s="166"/>
      <c r="T53" s="166"/>
      <c r="U53" s="167"/>
      <c r="V53" s="167"/>
      <c r="W53" s="167"/>
      <c r="X53" s="168"/>
      <c r="Y53" s="168"/>
      <c r="Z53" s="167"/>
      <c r="AA53" s="167"/>
    </row>
    <row r="54" spans="2:33" x14ac:dyDescent="0.25">
      <c r="B54" s="93"/>
      <c r="C54" s="166"/>
      <c r="D54" s="166"/>
      <c r="E54" s="166"/>
      <c r="F54" s="167"/>
      <c r="G54" s="167"/>
      <c r="H54" s="167"/>
      <c r="I54" s="168"/>
      <c r="J54" s="168"/>
      <c r="K54" s="167"/>
      <c r="L54" s="167"/>
      <c r="M54" s="167"/>
      <c r="N54" s="168"/>
      <c r="O54" s="168"/>
      <c r="P54" s="167"/>
      <c r="Q54" s="167"/>
      <c r="R54" s="166"/>
      <c r="S54" s="166"/>
      <c r="T54" s="166"/>
      <c r="U54" s="167"/>
      <c r="V54" s="167"/>
      <c r="W54" s="167"/>
      <c r="X54" s="168"/>
      <c r="Y54" s="168"/>
      <c r="Z54" s="167"/>
      <c r="AA54" s="167"/>
    </row>
    <row r="55" spans="2:33" x14ac:dyDescent="0.25">
      <c r="B55" s="93"/>
      <c r="C55" s="166"/>
      <c r="D55" s="166"/>
      <c r="E55" s="166"/>
      <c r="F55" s="167"/>
      <c r="G55" s="167"/>
      <c r="H55" s="167"/>
      <c r="I55" s="168"/>
      <c r="J55" s="168"/>
      <c r="K55" s="167"/>
      <c r="L55" s="167"/>
      <c r="M55" s="167"/>
      <c r="N55" s="168"/>
      <c r="O55" s="168"/>
      <c r="P55" s="167"/>
      <c r="Q55" s="167"/>
      <c r="R55" s="166"/>
      <c r="S55" s="166"/>
      <c r="T55" s="166"/>
      <c r="U55" s="167"/>
      <c r="V55" s="167"/>
      <c r="W55" s="167"/>
      <c r="X55" s="168"/>
      <c r="Y55" s="168"/>
      <c r="Z55" s="167"/>
      <c r="AA55" s="167"/>
    </row>
    <row r="56" spans="2:33" x14ac:dyDescent="0.25">
      <c r="B56" s="93"/>
      <c r="C56" s="166"/>
      <c r="D56" s="166"/>
      <c r="E56" s="166"/>
      <c r="F56" s="167"/>
      <c r="G56" s="167"/>
      <c r="H56" s="167"/>
      <c r="I56" s="168"/>
      <c r="J56" s="168"/>
      <c r="K56" s="167"/>
      <c r="L56" s="167"/>
      <c r="M56" s="167"/>
      <c r="N56" s="168"/>
      <c r="O56" s="168"/>
      <c r="P56" s="167"/>
      <c r="Q56" s="167"/>
      <c r="R56" s="166"/>
      <c r="S56" s="166"/>
      <c r="T56" s="166"/>
      <c r="U56" s="167"/>
      <c r="V56" s="167"/>
      <c r="W56" s="167"/>
      <c r="X56" s="168"/>
      <c r="Y56" s="168"/>
      <c r="Z56" s="167"/>
      <c r="AA56" s="167"/>
    </row>
    <row r="57" spans="2:33" x14ac:dyDescent="0.25">
      <c r="B57" s="93"/>
      <c r="C57" s="166"/>
      <c r="D57" s="166"/>
      <c r="E57" s="166"/>
      <c r="F57" s="167"/>
      <c r="G57" s="167"/>
      <c r="H57" s="167"/>
      <c r="I57" s="168"/>
      <c r="J57" s="168"/>
      <c r="K57" s="167"/>
      <c r="L57" s="167"/>
      <c r="M57" s="167"/>
      <c r="N57" s="168"/>
      <c r="O57" s="168"/>
      <c r="P57" s="167"/>
      <c r="Q57" s="167"/>
      <c r="R57" s="166"/>
      <c r="S57" s="166"/>
      <c r="T57" s="166"/>
      <c r="U57" s="167"/>
      <c r="V57" s="167"/>
      <c r="W57" s="167"/>
      <c r="X57" s="168"/>
      <c r="Y57" s="168"/>
      <c r="Z57" s="167"/>
      <c r="AA57" s="167"/>
    </row>
  </sheetData>
  <sortState xmlns:xlrd2="http://schemas.microsoft.com/office/spreadsheetml/2017/richdata2" ref="B5:AA57">
    <sortCondition ref="B5:B57"/>
  </sortState>
  <mergeCells count="13">
    <mergeCell ref="B1:AG2"/>
    <mergeCell ref="B3:B4"/>
    <mergeCell ref="C3:G3"/>
    <mergeCell ref="H3:L3"/>
    <mergeCell ref="M3:Q3"/>
    <mergeCell ref="R3:V3"/>
    <mergeCell ref="W3:AA3"/>
    <mergeCell ref="AB3:AB4"/>
    <mergeCell ref="AC3:AC4"/>
    <mergeCell ref="AD3:AD4"/>
    <mergeCell ref="AE3:AE4"/>
    <mergeCell ref="AF3:AF4"/>
    <mergeCell ref="AG3:AG4"/>
  </mergeCells>
  <conditionalFormatting sqref="AB5:AB5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{30B110FB-0BD6-4612-87C6-FF264D565003}</x14:id>
        </ext>
      </extLst>
    </cfRule>
  </conditionalFormatting>
  <conditionalFormatting sqref="AC3:AC1048576">
    <cfRule type="top10" dxfId="56" priority="9" rank="1"/>
    <cfRule type="top10" dxfId="55" priority="10" rank="5"/>
  </conditionalFormatting>
  <conditionalFormatting sqref="AD1:AD1048576">
    <cfRule type="top10" dxfId="54" priority="3" rank="1"/>
    <cfRule type="top10" dxfId="53" priority="4" rank="5"/>
  </conditionalFormatting>
  <conditionalFormatting sqref="AE1:AF3 AE4 AE5:AF1048576">
    <cfRule type="top10" dxfId="52" priority="5" rank="1"/>
    <cfRule type="top10" dxfId="51" priority="6" rank="5"/>
  </conditionalFormatting>
  <conditionalFormatting sqref="AF5:AF52">
    <cfRule type="top10" dxfId="50" priority="1" rank="1"/>
    <cfRule type="top10" dxfId="49" priority="2" rank="3"/>
  </conditionalFormatting>
  <conditionalFormatting sqref="AG3:AG1048576">
    <cfRule type="top10" dxfId="48" priority="7" rank="1"/>
    <cfRule type="top10" dxfId="47" priority="8" rank="5"/>
  </conditionalFormatting>
  <pageMargins left="0.511811024" right="0.511811024" top="0.78740157499999996" bottom="0.78740157499999996" header="0.31496062000000002" footer="0.31496062000000002"/>
  <pageSetup paperSize="9" scale="40" orientation="landscape" horizontalDpi="4294967292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B110FB-0BD6-4612-87C6-FF264D56500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AB5:AB52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3B0A-0B5B-43D9-882E-84759D32F723}">
  <sheetPr>
    <pageSetUpPr fitToPage="1"/>
  </sheetPr>
  <dimension ref="A1:BB57"/>
  <sheetViews>
    <sheetView showGridLines="0" topLeftCell="M1" zoomScale="80" zoomScaleNormal="80" workbookViewId="0">
      <pane ySplit="4" topLeftCell="A5" activePane="bottomLeft" state="frozen"/>
      <selection activeCell="B47" sqref="B47"/>
      <selection pane="bottomLeft" activeCell="B47" sqref="B47"/>
    </sheetView>
  </sheetViews>
  <sheetFormatPr defaultRowHeight="15" x14ac:dyDescent="0.25"/>
  <cols>
    <col min="1" max="1" width="7.140625" customWidth="1"/>
    <col min="2" max="2" width="28.42578125" style="6" customWidth="1"/>
    <col min="3" max="3" width="9.140625" customWidth="1"/>
    <col min="6" max="7" width="9.140625" style="5"/>
    <col min="11" max="12" width="9.140625" style="5"/>
    <col min="16" max="17" width="9.140625" style="5"/>
    <col min="21" max="22" width="9.140625" style="5"/>
    <col min="23" max="23" width="9.140625" style="54"/>
    <col min="24" max="25" width="9.140625" style="120"/>
    <col min="26" max="27" width="9.140625" style="54"/>
    <col min="28" max="28" width="14.7109375" customWidth="1"/>
    <col min="29" max="29" width="14.5703125" style="2" customWidth="1"/>
    <col min="30" max="30" width="13.85546875" style="2" customWidth="1"/>
    <col min="31" max="32" width="6.140625" style="2" customWidth="1"/>
    <col min="33" max="33" width="13.5703125" style="5" customWidth="1"/>
  </cols>
  <sheetData>
    <row r="1" spans="1:33" ht="15" customHeight="1" x14ac:dyDescent="0.25">
      <c r="B1" s="328" t="s">
        <v>42</v>
      </c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</row>
    <row r="2" spans="1:33" ht="15" customHeight="1" thickBot="1" x14ac:dyDescent="0.3">
      <c r="A2" s="1"/>
      <c r="B2" s="331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  <c r="AA2" s="332"/>
      <c r="AB2" s="332"/>
      <c r="AC2" s="332"/>
      <c r="AD2" s="332"/>
      <c r="AE2" s="332"/>
      <c r="AF2" s="332"/>
      <c r="AG2" s="332"/>
    </row>
    <row r="3" spans="1:33" x14ac:dyDescent="0.25">
      <c r="B3" s="310" t="s">
        <v>0</v>
      </c>
      <c r="C3" s="334">
        <v>45937</v>
      </c>
      <c r="D3" s="335"/>
      <c r="E3" s="335"/>
      <c r="F3" s="335"/>
      <c r="G3" s="336"/>
      <c r="H3" s="337">
        <f>C3+7</f>
        <v>45944</v>
      </c>
      <c r="I3" s="338"/>
      <c r="J3" s="338"/>
      <c r="K3" s="338"/>
      <c r="L3" s="339"/>
      <c r="M3" s="340">
        <f>H3+7</f>
        <v>45951</v>
      </c>
      <c r="N3" s="341"/>
      <c r="O3" s="341"/>
      <c r="P3" s="341"/>
      <c r="Q3" s="342"/>
      <c r="R3" s="343">
        <f>M3+7</f>
        <v>45958</v>
      </c>
      <c r="S3" s="344"/>
      <c r="T3" s="344"/>
      <c r="U3" s="344"/>
      <c r="V3" s="345"/>
      <c r="W3" s="351" t="s">
        <v>41</v>
      </c>
      <c r="X3" s="352"/>
      <c r="Y3" s="352"/>
      <c r="Z3" s="352"/>
      <c r="AA3" s="353"/>
      <c r="AB3" s="310" t="s">
        <v>45</v>
      </c>
      <c r="AC3" s="349" t="s">
        <v>46</v>
      </c>
      <c r="AD3" s="349" t="s">
        <v>47</v>
      </c>
      <c r="AE3" s="349" t="s">
        <v>72</v>
      </c>
      <c r="AF3" s="349" t="s">
        <v>75</v>
      </c>
      <c r="AG3" s="277" t="s">
        <v>48</v>
      </c>
    </row>
    <row r="4" spans="1:33" ht="15.75" thickBot="1" x14ac:dyDescent="0.3">
      <c r="B4" s="311"/>
      <c r="C4" s="191" t="s">
        <v>49</v>
      </c>
      <c r="D4" s="192" t="s">
        <v>43</v>
      </c>
      <c r="E4" s="192" t="s">
        <v>2</v>
      </c>
      <c r="F4" s="193" t="s">
        <v>40</v>
      </c>
      <c r="G4" s="239" t="s">
        <v>75</v>
      </c>
      <c r="H4" s="195" t="s">
        <v>49</v>
      </c>
      <c r="I4" s="196" t="s">
        <v>43</v>
      </c>
      <c r="J4" s="196" t="s">
        <v>2</v>
      </c>
      <c r="K4" s="197" t="s">
        <v>40</v>
      </c>
      <c r="L4" s="198" t="s">
        <v>75</v>
      </c>
      <c r="M4" s="214" t="s">
        <v>49</v>
      </c>
      <c r="N4" s="199" t="s">
        <v>44</v>
      </c>
      <c r="O4" s="199" t="s">
        <v>2</v>
      </c>
      <c r="P4" s="200" t="s">
        <v>40</v>
      </c>
      <c r="Q4" s="215" t="s">
        <v>75</v>
      </c>
      <c r="R4" s="202" t="s">
        <v>49</v>
      </c>
      <c r="S4" s="203" t="s">
        <v>43</v>
      </c>
      <c r="T4" s="203" t="s">
        <v>2</v>
      </c>
      <c r="U4" s="204" t="s">
        <v>40</v>
      </c>
      <c r="V4" s="205" t="s">
        <v>75</v>
      </c>
      <c r="W4" s="258" t="s">
        <v>49</v>
      </c>
      <c r="X4" s="206" t="s">
        <v>43</v>
      </c>
      <c r="Y4" s="206" t="s">
        <v>2</v>
      </c>
      <c r="Z4" s="207" t="s">
        <v>40</v>
      </c>
      <c r="AA4" s="208" t="s">
        <v>75</v>
      </c>
      <c r="AB4" s="311"/>
      <c r="AC4" s="350"/>
      <c r="AD4" s="350"/>
      <c r="AE4" s="350"/>
      <c r="AF4" s="350"/>
      <c r="AG4" s="278"/>
    </row>
    <row r="5" spans="1:33" x14ac:dyDescent="0.25">
      <c r="B5" s="236" t="s">
        <v>3</v>
      </c>
      <c r="C5" s="217"/>
      <c r="D5" s="218"/>
      <c r="E5" s="218"/>
      <c r="F5" s="219"/>
      <c r="G5" s="232"/>
      <c r="H5" s="221" t="s">
        <v>50</v>
      </c>
      <c r="I5" s="222">
        <v>3</v>
      </c>
      <c r="J5" s="222">
        <v>2</v>
      </c>
      <c r="K5" s="219">
        <v>6.6</v>
      </c>
      <c r="L5" s="223" t="s">
        <v>76</v>
      </c>
      <c r="M5" s="242" t="s">
        <v>50</v>
      </c>
      <c r="N5" s="222">
        <v>0</v>
      </c>
      <c r="O5" s="222">
        <v>2</v>
      </c>
      <c r="P5" s="219">
        <v>7</v>
      </c>
      <c r="Q5" s="250" t="s">
        <v>76</v>
      </c>
      <c r="R5" s="217" t="s">
        <v>50</v>
      </c>
      <c r="S5" s="218">
        <v>1</v>
      </c>
      <c r="T5" s="218">
        <v>0</v>
      </c>
      <c r="U5" s="219">
        <v>5.24</v>
      </c>
      <c r="V5" s="220"/>
      <c r="W5" s="242"/>
      <c r="X5" s="222"/>
      <c r="Y5" s="222"/>
      <c r="Z5" s="219"/>
      <c r="AA5" s="220"/>
      <c r="AB5" s="26">
        <f>COUNTIF(C5:Z5,"P")</f>
        <v>3</v>
      </c>
      <c r="AC5" s="27">
        <f t="shared" ref="AC5:AD46" si="0">SUM(D5,I5,N5,S5,X5)</f>
        <v>4</v>
      </c>
      <c r="AD5" s="27">
        <f t="shared" si="0"/>
        <v>4</v>
      </c>
      <c r="AE5" s="27">
        <f>SUM(AC5+AD5)</f>
        <v>8</v>
      </c>
      <c r="AF5" s="27">
        <f>COUNTIF(G5:AA5,"F")</f>
        <v>2</v>
      </c>
      <c r="AG5" s="28">
        <f>IFERROR(AVERAGE(F5,K5,P5,U5,Z5),"-")</f>
        <v>6.28</v>
      </c>
    </row>
    <row r="6" spans="1:33" x14ac:dyDescent="0.25">
      <c r="B6" s="236" t="s">
        <v>4</v>
      </c>
      <c r="C6" s="49" t="s">
        <v>50</v>
      </c>
      <c r="D6" s="137">
        <v>0</v>
      </c>
      <c r="E6" s="137">
        <v>1</v>
      </c>
      <c r="F6" s="138">
        <v>3.34</v>
      </c>
      <c r="G6" s="144"/>
      <c r="H6" s="148" t="s">
        <v>50</v>
      </c>
      <c r="I6" s="149">
        <v>2</v>
      </c>
      <c r="J6" s="149">
        <v>1</v>
      </c>
      <c r="K6" s="138">
        <v>4.5999999999999996</v>
      </c>
      <c r="L6" s="139"/>
      <c r="M6" s="243" t="s">
        <v>50</v>
      </c>
      <c r="N6" s="149">
        <v>0</v>
      </c>
      <c r="O6" s="149">
        <v>0</v>
      </c>
      <c r="P6" s="138">
        <v>4.08</v>
      </c>
      <c r="Q6" s="251"/>
      <c r="R6" s="49"/>
      <c r="S6" s="137"/>
      <c r="T6" s="137"/>
      <c r="U6" s="138"/>
      <c r="V6" s="139"/>
      <c r="W6" s="243"/>
      <c r="X6" s="149"/>
      <c r="Y6" s="149"/>
      <c r="Z6" s="138"/>
      <c r="AA6" s="155"/>
      <c r="AB6" s="15">
        <f t="shared" ref="AB6:AB50" si="1">COUNTIF(C6:Z6,"P")</f>
        <v>3</v>
      </c>
      <c r="AC6" s="17">
        <f t="shared" si="0"/>
        <v>2</v>
      </c>
      <c r="AD6" s="17">
        <f t="shared" si="0"/>
        <v>2</v>
      </c>
      <c r="AE6" s="17">
        <f t="shared" ref="AE6:AE49" si="2">SUM(AC6+AD6)</f>
        <v>4</v>
      </c>
      <c r="AF6" s="17">
        <f t="shared" ref="AF6:AF50" si="3">COUNTIF(G6:AA6,"F")</f>
        <v>0</v>
      </c>
      <c r="AG6" s="19">
        <f t="shared" ref="AG6:AG50" si="4">IFERROR(AVERAGE(F6,K6,P6,U6,Z6),"-")</f>
        <v>4.0066666666666668</v>
      </c>
    </row>
    <row r="7" spans="1:33" x14ac:dyDescent="0.25">
      <c r="B7" s="236" t="s">
        <v>5</v>
      </c>
      <c r="C7" s="49"/>
      <c r="D7" s="137"/>
      <c r="E7" s="137"/>
      <c r="F7" s="138"/>
      <c r="G7" s="144"/>
      <c r="H7" s="148"/>
      <c r="I7" s="149"/>
      <c r="J7" s="149"/>
      <c r="K7" s="138"/>
      <c r="L7" s="139"/>
      <c r="M7" s="243"/>
      <c r="N7" s="149"/>
      <c r="O7" s="149"/>
      <c r="P7" s="138"/>
      <c r="Q7" s="251"/>
      <c r="R7" s="49"/>
      <c r="S7" s="137"/>
      <c r="T7" s="137"/>
      <c r="U7" s="138"/>
      <c r="V7" s="139"/>
      <c r="W7" s="243"/>
      <c r="X7" s="149"/>
      <c r="Y7" s="149"/>
      <c r="Z7" s="138"/>
      <c r="AA7" s="139"/>
      <c r="AB7" s="15">
        <f t="shared" si="1"/>
        <v>0</v>
      </c>
      <c r="AC7" s="17">
        <f t="shared" si="0"/>
        <v>0</v>
      </c>
      <c r="AD7" s="17">
        <f t="shared" si="0"/>
        <v>0</v>
      </c>
      <c r="AE7" s="17">
        <f t="shared" si="2"/>
        <v>0</v>
      </c>
      <c r="AF7" s="17">
        <f t="shared" si="3"/>
        <v>0</v>
      </c>
      <c r="AG7" s="19" t="str">
        <f t="shared" si="4"/>
        <v>-</v>
      </c>
    </row>
    <row r="8" spans="1:33" x14ac:dyDescent="0.25">
      <c r="B8" s="236" t="s">
        <v>74</v>
      </c>
      <c r="C8" s="154"/>
      <c r="D8" s="137"/>
      <c r="E8" s="137"/>
      <c r="F8" s="138"/>
      <c r="G8" s="144"/>
      <c r="H8" s="148"/>
      <c r="I8" s="149"/>
      <c r="J8" s="149"/>
      <c r="K8" s="138"/>
      <c r="L8" s="139"/>
      <c r="M8" s="243"/>
      <c r="N8" s="149"/>
      <c r="O8" s="149"/>
      <c r="P8" s="138"/>
      <c r="Q8" s="251"/>
      <c r="R8" s="154"/>
      <c r="S8" s="137"/>
      <c r="T8" s="137"/>
      <c r="U8" s="138"/>
      <c r="V8" s="139"/>
      <c r="W8" s="243"/>
      <c r="X8" s="149"/>
      <c r="Y8" s="149"/>
      <c r="Z8" s="138"/>
      <c r="AA8" s="139"/>
      <c r="AB8" s="15">
        <f t="shared" si="1"/>
        <v>0</v>
      </c>
      <c r="AC8" s="17">
        <f t="shared" si="0"/>
        <v>0</v>
      </c>
      <c r="AD8" s="17">
        <f t="shared" si="0"/>
        <v>0</v>
      </c>
      <c r="AE8" s="17">
        <f t="shared" si="2"/>
        <v>0</v>
      </c>
      <c r="AF8" s="17">
        <f t="shared" si="3"/>
        <v>0</v>
      </c>
      <c r="AG8" s="19" t="str">
        <f t="shared" si="4"/>
        <v>-</v>
      </c>
    </row>
    <row r="9" spans="1:33" x14ac:dyDescent="0.25">
      <c r="B9" s="236" t="s">
        <v>6</v>
      </c>
      <c r="C9" s="154"/>
      <c r="D9" s="137"/>
      <c r="E9" s="137"/>
      <c r="F9" s="138"/>
      <c r="G9" s="144"/>
      <c r="H9" s="148" t="s">
        <v>50</v>
      </c>
      <c r="I9" s="149">
        <v>1</v>
      </c>
      <c r="J9" s="149">
        <v>0</v>
      </c>
      <c r="K9" s="138">
        <v>5.66</v>
      </c>
      <c r="L9" s="152" t="s">
        <v>76</v>
      </c>
      <c r="M9" s="243" t="s">
        <v>50</v>
      </c>
      <c r="N9" s="149">
        <v>2</v>
      </c>
      <c r="O9" s="149">
        <v>0</v>
      </c>
      <c r="P9" s="138">
        <v>9.24</v>
      </c>
      <c r="Q9" s="252" t="s">
        <v>76</v>
      </c>
      <c r="R9" s="154" t="s">
        <v>50</v>
      </c>
      <c r="S9" s="137">
        <v>0</v>
      </c>
      <c r="T9" s="137">
        <v>0</v>
      </c>
      <c r="U9" s="138">
        <v>5.46</v>
      </c>
      <c r="V9" s="139"/>
      <c r="W9" s="243"/>
      <c r="X9" s="149"/>
      <c r="Y9" s="149"/>
      <c r="Z9" s="138"/>
      <c r="AA9" s="139"/>
      <c r="AB9" s="15">
        <f t="shared" si="1"/>
        <v>3</v>
      </c>
      <c r="AC9" s="17">
        <f t="shared" si="0"/>
        <v>3</v>
      </c>
      <c r="AD9" s="17">
        <f t="shared" si="0"/>
        <v>0</v>
      </c>
      <c r="AE9" s="17">
        <f t="shared" si="2"/>
        <v>3</v>
      </c>
      <c r="AF9" s="17">
        <f t="shared" si="3"/>
        <v>2</v>
      </c>
      <c r="AG9" s="19">
        <f t="shared" si="4"/>
        <v>6.7866666666666662</v>
      </c>
    </row>
    <row r="10" spans="1:33" x14ac:dyDescent="0.25">
      <c r="B10" s="236" t="s">
        <v>7</v>
      </c>
      <c r="C10" s="49" t="s">
        <v>50</v>
      </c>
      <c r="D10" s="137">
        <v>0</v>
      </c>
      <c r="E10" s="137">
        <v>0</v>
      </c>
      <c r="F10" s="138">
        <v>6.36</v>
      </c>
      <c r="G10" s="240" t="s">
        <v>76</v>
      </c>
      <c r="H10" s="148" t="s">
        <v>50</v>
      </c>
      <c r="I10" s="149">
        <v>0</v>
      </c>
      <c r="J10" s="149">
        <v>0</v>
      </c>
      <c r="K10" s="138">
        <v>6.2</v>
      </c>
      <c r="L10" s="152" t="s">
        <v>76</v>
      </c>
      <c r="M10" s="243" t="s">
        <v>50</v>
      </c>
      <c r="N10" s="149">
        <v>0</v>
      </c>
      <c r="O10" s="149">
        <v>0</v>
      </c>
      <c r="P10" s="138">
        <v>3.7</v>
      </c>
      <c r="Q10" s="251"/>
      <c r="R10" s="49" t="s">
        <v>50</v>
      </c>
      <c r="S10" s="137">
        <v>0</v>
      </c>
      <c r="T10" s="137">
        <v>0</v>
      </c>
      <c r="U10" s="138">
        <v>6.36</v>
      </c>
      <c r="V10" s="270" t="s">
        <v>76</v>
      </c>
      <c r="W10" s="243"/>
      <c r="X10" s="149"/>
      <c r="Y10" s="149"/>
      <c r="Z10" s="138"/>
      <c r="AA10" s="139"/>
      <c r="AB10" s="15">
        <f t="shared" si="1"/>
        <v>4</v>
      </c>
      <c r="AC10" s="17">
        <f t="shared" si="0"/>
        <v>0</v>
      </c>
      <c r="AD10" s="17">
        <f t="shared" si="0"/>
        <v>0</v>
      </c>
      <c r="AE10" s="17">
        <f t="shared" si="2"/>
        <v>0</v>
      </c>
      <c r="AF10" s="17">
        <f t="shared" si="3"/>
        <v>3</v>
      </c>
      <c r="AG10" s="19">
        <f t="shared" si="4"/>
        <v>5.6550000000000002</v>
      </c>
    </row>
    <row r="11" spans="1:33" x14ac:dyDescent="0.25">
      <c r="B11" s="236" t="s">
        <v>8</v>
      </c>
      <c r="C11" s="49" t="s">
        <v>50</v>
      </c>
      <c r="D11" s="137">
        <v>2</v>
      </c>
      <c r="E11" s="137">
        <v>3</v>
      </c>
      <c r="F11" s="138">
        <v>7.06</v>
      </c>
      <c r="G11" s="240" t="s">
        <v>76</v>
      </c>
      <c r="H11" s="148" t="s">
        <v>50</v>
      </c>
      <c r="I11" s="149">
        <v>3</v>
      </c>
      <c r="J11" s="149">
        <v>3</v>
      </c>
      <c r="K11" s="138">
        <v>6.26</v>
      </c>
      <c r="L11" s="139"/>
      <c r="M11" s="243" t="s">
        <v>50</v>
      </c>
      <c r="N11" s="149">
        <v>0</v>
      </c>
      <c r="O11" s="149">
        <v>0</v>
      </c>
      <c r="P11" s="138">
        <v>5.38</v>
      </c>
      <c r="Q11" s="251"/>
      <c r="R11" s="49"/>
      <c r="S11" s="137"/>
      <c r="T11" s="137"/>
      <c r="U11" s="138"/>
      <c r="V11" s="139"/>
      <c r="W11" s="243"/>
      <c r="X11" s="149"/>
      <c r="Y11" s="149"/>
      <c r="Z11" s="138"/>
      <c r="AA11" s="139"/>
      <c r="AB11" s="15">
        <f t="shared" si="1"/>
        <v>3</v>
      </c>
      <c r="AC11" s="17">
        <f t="shared" si="0"/>
        <v>5</v>
      </c>
      <c r="AD11" s="17">
        <f t="shared" si="0"/>
        <v>6</v>
      </c>
      <c r="AE11" s="17">
        <f t="shared" si="2"/>
        <v>11</v>
      </c>
      <c r="AF11" s="17">
        <f t="shared" si="3"/>
        <v>1</v>
      </c>
      <c r="AG11" s="19">
        <f t="shared" si="4"/>
        <v>6.2333333333333334</v>
      </c>
    </row>
    <row r="12" spans="1:33" x14ac:dyDescent="0.25">
      <c r="B12" s="236" t="s">
        <v>9</v>
      </c>
      <c r="C12" s="49" t="s">
        <v>50</v>
      </c>
      <c r="D12" s="137">
        <v>2</v>
      </c>
      <c r="E12" s="137">
        <v>2</v>
      </c>
      <c r="F12" s="138">
        <v>5.14</v>
      </c>
      <c r="G12" s="144"/>
      <c r="H12" s="148" t="s">
        <v>50</v>
      </c>
      <c r="I12" s="149">
        <v>2</v>
      </c>
      <c r="J12" s="149">
        <v>2</v>
      </c>
      <c r="K12" s="138">
        <v>5.6</v>
      </c>
      <c r="L12" s="152" t="s">
        <v>76</v>
      </c>
      <c r="M12" s="243" t="s">
        <v>50</v>
      </c>
      <c r="N12" s="149">
        <v>2</v>
      </c>
      <c r="O12" s="149">
        <v>0</v>
      </c>
      <c r="P12" s="138">
        <v>6.34</v>
      </c>
      <c r="Q12" s="252" t="s">
        <v>76</v>
      </c>
      <c r="R12" s="49" t="s">
        <v>50</v>
      </c>
      <c r="S12" s="137">
        <v>5</v>
      </c>
      <c r="T12" s="137">
        <v>0</v>
      </c>
      <c r="U12" s="138">
        <v>8.16</v>
      </c>
      <c r="V12" s="270" t="s">
        <v>76</v>
      </c>
      <c r="W12" s="243"/>
      <c r="X12" s="149"/>
      <c r="Y12" s="149"/>
      <c r="Z12" s="138"/>
      <c r="AA12" s="139"/>
      <c r="AB12" s="15">
        <f t="shared" si="1"/>
        <v>4</v>
      </c>
      <c r="AC12" s="17">
        <f t="shared" si="0"/>
        <v>11</v>
      </c>
      <c r="AD12" s="17">
        <f t="shared" si="0"/>
        <v>4</v>
      </c>
      <c r="AE12" s="17">
        <f t="shared" si="2"/>
        <v>15</v>
      </c>
      <c r="AF12" s="17">
        <f t="shared" si="3"/>
        <v>3</v>
      </c>
      <c r="AG12" s="19">
        <f t="shared" si="4"/>
        <v>6.31</v>
      </c>
    </row>
    <row r="13" spans="1:33" x14ac:dyDescent="0.25">
      <c r="B13" s="236" t="s">
        <v>10</v>
      </c>
      <c r="C13" s="49"/>
      <c r="D13" s="137"/>
      <c r="E13" s="137"/>
      <c r="F13" s="138"/>
      <c r="G13" s="144"/>
      <c r="H13" s="148"/>
      <c r="I13" s="149"/>
      <c r="J13" s="149"/>
      <c r="K13" s="138"/>
      <c r="L13" s="139"/>
      <c r="M13" s="243"/>
      <c r="N13" s="149"/>
      <c r="O13" s="149"/>
      <c r="P13" s="138"/>
      <c r="Q13" s="251"/>
      <c r="R13" s="49"/>
      <c r="S13" s="137"/>
      <c r="T13" s="137"/>
      <c r="U13" s="138"/>
      <c r="V13" s="139"/>
      <c r="W13" s="243"/>
      <c r="X13" s="149"/>
      <c r="Y13" s="149"/>
      <c r="Z13" s="138"/>
      <c r="AA13" s="139"/>
      <c r="AB13" s="15">
        <f t="shared" si="1"/>
        <v>0</v>
      </c>
      <c r="AC13" s="17">
        <f t="shared" si="0"/>
        <v>0</v>
      </c>
      <c r="AD13" s="17">
        <f t="shared" si="0"/>
        <v>0</v>
      </c>
      <c r="AE13" s="17">
        <f t="shared" si="2"/>
        <v>0</v>
      </c>
      <c r="AF13" s="17">
        <f t="shared" si="3"/>
        <v>0</v>
      </c>
      <c r="AG13" s="19" t="str">
        <f t="shared" si="4"/>
        <v>-</v>
      </c>
    </row>
    <row r="14" spans="1:33" x14ac:dyDescent="0.25">
      <c r="B14" s="236" t="s">
        <v>11</v>
      </c>
      <c r="C14" s="49" t="s">
        <v>50</v>
      </c>
      <c r="D14" s="137">
        <v>0</v>
      </c>
      <c r="E14" s="137">
        <v>0</v>
      </c>
      <c r="F14" s="138">
        <v>5.86</v>
      </c>
      <c r="G14" s="144"/>
      <c r="H14" s="148"/>
      <c r="I14" s="149"/>
      <c r="J14" s="149"/>
      <c r="K14" s="138"/>
      <c r="L14" s="139"/>
      <c r="M14" s="243"/>
      <c r="N14" s="149"/>
      <c r="O14" s="149"/>
      <c r="P14" s="138"/>
      <c r="Q14" s="251"/>
      <c r="R14" s="49"/>
      <c r="S14" s="137"/>
      <c r="T14" s="137"/>
      <c r="U14" s="138"/>
      <c r="V14" s="139"/>
      <c r="W14" s="243"/>
      <c r="X14" s="149"/>
      <c r="Y14" s="149"/>
      <c r="Z14" s="138"/>
      <c r="AA14" s="139"/>
      <c r="AB14" s="15">
        <f t="shared" si="1"/>
        <v>1</v>
      </c>
      <c r="AC14" s="17">
        <f t="shared" si="0"/>
        <v>0</v>
      </c>
      <c r="AD14" s="17">
        <f t="shared" si="0"/>
        <v>0</v>
      </c>
      <c r="AE14" s="17">
        <f t="shared" si="2"/>
        <v>0</v>
      </c>
      <c r="AF14" s="17">
        <f t="shared" si="3"/>
        <v>0</v>
      </c>
      <c r="AG14" s="19">
        <f t="shared" si="4"/>
        <v>5.86</v>
      </c>
    </row>
    <row r="15" spans="1:33" x14ac:dyDescent="0.25">
      <c r="B15" s="237" t="s">
        <v>83</v>
      </c>
      <c r="C15" s="9" t="s">
        <v>50</v>
      </c>
      <c r="D15" s="159">
        <v>0</v>
      </c>
      <c r="E15" s="159">
        <v>0</v>
      </c>
      <c r="F15" s="4">
        <v>4.66</v>
      </c>
      <c r="G15" s="37"/>
      <c r="H15" s="9"/>
      <c r="I15" s="159"/>
      <c r="J15" s="159"/>
      <c r="K15" s="4"/>
      <c r="L15" s="10"/>
      <c r="M15" s="23"/>
      <c r="N15" s="159"/>
      <c r="O15" s="159"/>
      <c r="P15" s="4"/>
      <c r="Q15" s="253"/>
      <c r="R15" s="9"/>
      <c r="S15" s="159"/>
      <c r="T15" s="159"/>
      <c r="U15" s="4"/>
      <c r="V15" s="10"/>
      <c r="W15" s="259"/>
      <c r="X15" s="3"/>
      <c r="Y15" s="3"/>
      <c r="Z15" s="4"/>
      <c r="AA15" s="10"/>
      <c r="AB15" s="15">
        <f t="shared" si="1"/>
        <v>1</v>
      </c>
      <c r="AC15" s="17">
        <f t="shared" si="0"/>
        <v>0</v>
      </c>
      <c r="AD15" s="17">
        <f t="shared" si="0"/>
        <v>0</v>
      </c>
      <c r="AE15" s="17">
        <f t="shared" si="2"/>
        <v>0</v>
      </c>
      <c r="AF15" s="17">
        <f t="shared" si="3"/>
        <v>0</v>
      </c>
      <c r="AG15" s="19">
        <f t="shared" si="4"/>
        <v>4.66</v>
      </c>
    </row>
    <row r="16" spans="1:33" x14ac:dyDescent="0.25">
      <c r="B16" s="236" t="s">
        <v>12</v>
      </c>
      <c r="C16" s="49" t="s">
        <v>50</v>
      </c>
      <c r="D16" s="137">
        <v>0</v>
      </c>
      <c r="E16" s="137">
        <v>0</v>
      </c>
      <c r="F16" s="138">
        <v>5.34</v>
      </c>
      <c r="G16" s="144"/>
      <c r="H16" s="148" t="s">
        <v>50</v>
      </c>
      <c r="I16" s="149">
        <v>0</v>
      </c>
      <c r="J16" s="149">
        <v>0</v>
      </c>
      <c r="K16" s="138">
        <v>5.54</v>
      </c>
      <c r="L16" s="139"/>
      <c r="M16" s="243" t="s">
        <v>50</v>
      </c>
      <c r="N16" s="149">
        <v>0</v>
      </c>
      <c r="O16" s="149">
        <v>0</v>
      </c>
      <c r="P16" s="138">
        <v>6.08</v>
      </c>
      <c r="Q16" s="251"/>
      <c r="R16" s="49" t="s">
        <v>50</v>
      </c>
      <c r="S16" s="137">
        <v>0</v>
      </c>
      <c r="T16" s="137">
        <v>0</v>
      </c>
      <c r="U16" s="138">
        <v>5.54</v>
      </c>
      <c r="V16" s="139"/>
      <c r="W16" s="243"/>
      <c r="X16" s="149"/>
      <c r="Y16" s="149"/>
      <c r="Z16" s="138"/>
      <c r="AA16" s="155"/>
      <c r="AB16" s="15">
        <f t="shared" si="1"/>
        <v>4</v>
      </c>
      <c r="AC16" s="17">
        <f t="shared" si="0"/>
        <v>0</v>
      </c>
      <c r="AD16" s="17">
        <f t="shared" si="0"/>
        <v>0</v>
      </c>
      <c r="AE16" s="17">
        <f t="shared" si="2"/>
        <v>0</v>
      </c>
      <c r="AF16" s="17">
        <f t="shared" si="3"/>
        <v>0</v>
      </c>
      <c r="AG16" s="19">
        <f t="shared" si="4"/>
        <v>5.625</v>
      </c>
    </row>
    <row r="17" spans="2:33" x14ac:dyDescent="0.25">
      <c r="B17" s="236" t="s">
        <v>56</v>
      </c>
      <c r="C17" s="49"/>
      <c r="D17" s="137"/>
      <c r="E17" s="137"/>
      <c r="F17" s="138"/>
      <c r="G17" s="144"/>
      <c r="H17" s="148"/>
      <c r="I17" s="149"/>
      <c r="J17" s="149"/>
      <c r="K17" s="138"/>
      <c r="L17" s="139"/>
      <c r="M17" s="243"/>
      <c r="N17" s="149"/>
      <c r="O17" s="149"/>
      <c r="P17" s="138"/>
      <c r="Q17" s="251"/>
      <c r="R17" s="49"/>
      <c r="S17" s="137"/>
      <c r="T17" s="137"/>
      <c r="U17" s="138"/>
      <c r="V17" s="139"/>
      <c r="W17" s="243"/>
      <c r="X17" s="149"/>
      <c r="Y17" s="149"/>
      <c r="Z17" s="138"/>
      <c r="AA17" s="139"/>
      <c r="AB17" s="15">
        <f t="shared" si="1"/>
        <v>0</v>
      </c>
      <c r="AC17" s="17">
        <f t="shared" si="0"/>
        <v>0</v>
      </c>
      <c r="AD17" s="17">
        <f t="shared" si="0"/>
        <v>0</v>
      </c>
      <c r="AE17" s="17">
        <f t="shared" si="2"/>
        <v>0</v>
      </c>
      <c r="AF17" s="17">
        <f t="shared" si="3"/>
        <v>0</v>
      </c>
      <c r="AG17" s="19" t="str">
        <f t="shared" si="4"/>
        <v>-</v>
      </c>
    </row>
    <row r="18" spans="2:33" x14ac:dyDescent="0.25">
      <c r="B18" s="236" t="s">
        <v>13</v>
      </c>
      <c r="C18" s="49"/>
      <c r="D18" s="137"/>
      <c r="E18" s="137"/>
      <c r="F18" s="138"/>
      <c r="G18" s="144"/>
      <c r="H18" s="148"/>
      <c r="I18" s="149"/>
      <c r="J18" s="149"/>
      <c r="K18" s="138"/>
      <c r="L18" s="139"/>
      <c r="M18" s="243"/>
      <c r="N18" s="149"/>
      <c r="O18" s="149"/>
      <c r="P18" s="138"/>
      <c r="Q18" s="251"/>
      <c r="R18" s="49" t="s">
        <v>50</v>
      </c>
      <c r="S18" s="137">
        <v>0</v>
      </c>
      <c r="T18" s="137">
        <v>0</v>
      </c>
      <c r="U18" s="138">
        <v>2.86</v>
      </c>
      <c r="V18" s="139"/>
      <c r="W18" s="243"/>
      <c r="X18" s="149"/>
      <c r="Y18" s="149"/>
      <c r="Z18" s="138"/>
      <c r="AA18" s="139"/>
      <c r="AB18" s="15">
        <f t="shared" si="1"/>
        <v>1</v>
      </c>
      <c r="AC18" s="17">
        <f t="shared" si="0"/>
        <v>0</v>
      </c>
      <c r="AD18" s="17">
        <f t="shared" si="0"/>
        <v>0</v>
      </c>
      <c r="AE18" s="17">
        <f t="shared" si="2"/>
        <v>0</v>
      </c>
      <c r="AF18" s="17">
        <f t="shared" si="3"/>
        <v>0</v>
      </c>
      <c r="AG18" s="19">
        <f t="shared" si="4"/>
        <v>2.86</v>
      </c>
    </row>
    <row r="19" spans="2:33" x14ac:dyDescent="0.25">
      <c r="B19" s="236" t="s">
        <v>14</v>
      </c>
      <c r="C19" s="49"/>
      <c r="D19" s="137"/>
      <c r="E19" s="137"/>
      <c r="F19" s="138"/>
      <c r="G19" s="144"/>
      <c r="H19" s="148" t="s">
        <v>50</v>
      </c>
      <c r="I19" s="149">
        <v>0</v>
      </c>
      <c r="J19" s="149">
        <v>3</v>
      </c>
      <c r="K19" s="138">
        <v>4.62</v>
      </c>
      <c r="L19" s="139"/>
      <c r="M19" s="243"/>
      <c r="N19" s="149"/>
      <c r="O19" s="149"/>
      <c r="P19" s="138"/>
      <c r="Q19" s="251"/>
      <c r="R19" s="49"/>
      <c r="S19" s="137"/>
      <c r="T19" s="137"/>
      <c r="U19" s="138"/>
      <c r="V19" s="139"/>
      <c r="W19" s="243"/>
      <c r="X19" s="149"/>
      <c r="Y19" s="149"/>
      <c r="Z19" s="138"/>
      <c r="AA19" s="139"/>
      <c r="AB19" s="15">
        <f t="shared" si="1"/>
        <v>1</v>
      </c>
      <c r="AC19" s="17">
        <f t="shared" si="0"/>
        <v>0</v>
      </c>
      <c r="AD19" s="17">
        <f t="shared" si="0"/>
        <v>3</v>
      </c>
      <c r="AE19" s="17">
        <f t="shared" si="2"/>
        <v>3</v>
      </c>
      <c r="AF19" s="17">
        <f t="shared" si="3"/>
        <v>0</v>
      </c>
      <c r="AG19" s="19">
        <f t="shared" si="4"/>
        <v>4.62</v>
      </c>
    </row>
    <row r="20" spans="2:33" x14ac:dyDescent="0.25">
      <c r="B20" s="237" t="s">
        <v>86</v>
      </c>
      <c r="C20" s="9"/>
      <c r="D20" s="159"/>
      <c r="E20" s="159"/>
      <c r="F20" s="4"/>
      <c r="G20" s="37"/>
      <c r="H20" s="9" t="s">
        <v>50</v>
      </c>
      <c r="I20" s="159">
        <v>0</v>
      </c>
      <c r="J20" s="159">
        <v>1</v>
      </c>
      <c r="K20" s="4">
        <v>5.12</v>
      </c>
      <c r="L20" s="152" t="s">
        <v>76</v>
      </c>
      <c r="M20" s="23" t="s">
        <v>50</v>
      </c>
      <c r="N20" s="159">
        <v>0</v>
      </c>
      <c r="O20" s="159">
        <v>0</v>
      </c>
      <c r="P20" s="4">
        <v>4.76</v>
      </c>
      <c r="Q20" s="253"/>
      <c r="R20" s="9"/>
      <c r="S20" s="159"/>
      <c r="T20" s="159"/>
      <c r="U20" s="4"/>
      <c r="V20" s="10"/>
      <c r="W20" s="259"/>
      <c r="X20" s="3"/>
      <c r="Y20" s="3"/>
      <c r="Z20" s="4"/>
      <c r="AA20" s="10"/>
      <c r="AB20" s="15">
        <f t="shared" si="1"/>
        <v>2</v>
      </c>
      <c r="AC20" s="17">
        <f t="shared" si="0"/>
        <v>0</v>
      </c>
      <c r="AD20" s="17">
        <f t="shared" si="0"/>
        <v>1</v>
      </c>
      <c r="AE20" s="17">
        <f t="shared" si="2"/>
        <v>1</v>
      </c>
      <c r="AF20" s="17">
        <f t="shared" si="3"/>
        <v>1</v>
      </c>
      <c r="AG20" s="19">
        <f t="shared" si="4"/>
        <v>4.9399999999999995</v>
      </c>
    </row>
    <row r="21" spans="2:33" x14ac:dyDescent="0.25">
      <c r="B21" s="236" t="s">
        <v>15</v>
      </c>
      <c r="C21" s="49"/>
      <c r="D21" s="137"/>
      <c r="E21" s="137"/>
      <c r="F21" s="138"/>
      <c r="G21" s="144"/>
      <c r="H21" s="148"/>
      <c r="I21" s="149"/>
      <c r="J21" s="149"/>
      <c r="K21" s="138"/>
      <c r="L21" s="139"/>
      <c r="M21" s="243"/>
      <c r="N21" s="149"/>
      <c r="O21" s="149"/>
      <c r="P21" s="138"/>
      <c r="Q21" s="251"/>
      <c r="R21" s="49" t="s">
        <v>50</v>
      </c>
      <c r="S21" s="137">
        <v>0</v>
      </c>
      <c r="T21" s="137">
        <v>0</v>
      </c>
      <c r="U21" s="138">
        <v>5.14</v>
      </c>
      <c r="V21" s="139"/>
      <c r="W21" s="243"/>
      <c r="X21" s="149"/>
      <c r="Y21" s="149"/>
      <c r="Z21" s="138"/>
      <c r="AA21" s="139"/>
      <c r="AB21" s="15">
        <f t="shared" si="1"/>
        <v>1</v>
      </c>
      <c r="AC21" s="17">
        <f t="shared" si="0"/>
        <v>0</v>
      </c>
      <c r="AD21" s="17">
        <f t="shared" si="0"/>
        <v>0</v>
      </c>
      <c r="AE21" s="17">
        <f t="shared" si="2"/>
        <v>0</v>
      </c>
      <c r="AF21" s="17">
        <f t="shared" si="3"/>
        <v>0</v>
      </c>
      <c r="AG21" s="19">
        <f t="shared" si="4"/>
        <v>5.14</v>
      </c>
    </row>
    <row r="22" spans="2:33" x14ac:dyDescent="0.25">
      <c r="B22" s="236" t="s">
        <v>16</v>
      </c>
      <c r="C22" s="49" t="s">
        <v>50</v>
      </c>
      <c r="D22" s="137">
        <v>3</v>
      </c>
      <c r="E22" s="137">
        <v>1</v>
      </c>
      <c r="F22" s="138">
        <v>6.54</v>
      </c>
      <c r="G22" s="240" t="s">
        <v>76</v>
      </c>
      <c r="H22" s="148" t="s">
        <v>50</v>
      </c>
      <c r="I22" s="149">
        <v>5</v>
      </c>
      <c r="J22" s="149">
        <v>4</v>
      </c>
      <c r="K22" s="138">
        <v>7.4</v>
      </c>
      <c r="L22" s="152" t="s">
        <v>76</v>
      </c>
      <c r="M22" s="243" t="s">
        <v>50</v>
      </c>
      <c r="N22" s="149">
        <v>2</v>
      </c>
      <c r="O22" s="149">
        <v>1</v>
      </c>
      <c r="P22" s="138">
        <v>4.84</v>
      </c>
      <c r="Q22" s="251"/>
      <c r="R22" s="49" t="s">
        <v>50</v>
      </c>
      <c r="S22" s="137">
        <v>1</v>
      </c>
      <c r="T22" s="137">
        <v>2</v>
      </c>
      <c r="U22" s="138">
        <v>4.72</v>
      </c>
      <c r="V22" s="139"/>
      <c r="W22" s="243"/>
      <c r="X22" s="149"/>
      <c r="Y22" s="149"/>
      <c r="Z22" s="138"/>
      <c r="AA22" s="139"/>
      <c r="AB22" s="15">
        <f t="shared" si="1"/>
        <v>4</v>
      </c>
      <c r="AC22" s="17">
        <f t="shared" si="0"/>
        <v>11</v>
      </c>
      <c r="AD22" s="17">
        <f t="shared" si="0"/>
        <v>8</v>
      </c>
      <c r="AE22" s="17">
        <f t="shared" si="2"/>
        <v>19</v>
      </c>
      <c r="AF22" s="17">
        <f t="shared" si="3"/>
        <v>2</v>
      </c>
      <c r="AG22" s="19">
        <f t="shared" si="4"/>
        <v>5.875</v>
      </c>
    </row>
    <row r="23" spans="2:33" x14ac:dyDescent="0.25">
      <c r="B23" s="236" t="s">
        <v>17</v>
      </c>
      <c r="C23" s="49" t="s">
        <v>50</v>
      </c>
      <c r="D23" s="137">
        <v>1</v>
      </c>
      <c r="E23" s="137">
        <v>0</v>
      </c>
      <c r="F23" s="138">
        <v>4.66</v>
      </c>
      <c r="G23" s="144"/>
      <c r="H23" s="148" t="s">
        <v>50</v>
      </c>
      <c r="I23" s="149">
        <v>2</v>
      </c>
      <c r="J23" s="149">
        <v>0</v>
      </c>
      <c r="K23" s="138">
        <v>4.66</v>
      </c>
      <c r="L23" s="139"/>
      <c r="M23" s="243" t="s">
        <v>50</v>
      </c>
      <c r="N23" s="149">
        <v>1</v>
      </c>
      <c r="O23" s="149">
        <v>0</v>
      </c>
      <c r="P23" s="138">
        <v>6.38</v>
      </c>
      <c r="Q23" s="251"/>
      <c r="R23" s="49" t="s">
        <v>50</v>
      </c>
      <c r="S23" s="137">
        <v>2</v>
      </c>
      <c r="T23" s="137">
        <v>2</v>
      </c>
      <c r="U23" s="138">
        <v>5.08</v>
      </c>
      <c r="V23" s="139"/>
      <c r="W23" s="243"/>
      <c r="X23" s="149"/>
      <c r="Y23" s="149"/>
      <c r="Z23" s="138"/>
      <c r="AA23" s="139"/>
      <c r="AB23" s="15">
        <f t="shared" si="1"/>
        <v>4</v>
      </c>
      <c r="AC23" s="17">
        <f t="shared" si="0"/>
        <v>6</v>
      </c>
      <c r="AD23" s="17">
        <f t="shared" si="0"/>
        <v>2</v>
      </c>
      <c r="AE23" s="17">
        <f t="shared" si="2"/>
        <v>8</v>
      </c>
      <c r="AF23" s="17">
        <f t="shared" si="3"/>
        <v>0</v>
      </c>
      <c r="AG23" s="19">
        <f t="shared" si="4"/>
        <v>5.1950000000000003</v>
      </c>
    </row>
    <row r="24" spans="2:33" x14ac:dyDescent="0.25">
      <c r="B24" s="236" t="s">
        <v>18</v>
      </c>
      <c r="C24" s="49"/>
      <c r="D24" s="137"/>
      <c r="E24" s="137"/>
      <c r="F24" s="138"/>
      <c r="G24" s="144"/>
      <c r="H24" s="148"/>
      <c r="I24" s="149"/>
      <c r="J24" s="149"/>
      <c r="K24" s="138"/>
      <c r="L24" s="139"/>
      <c r="M24" s="243" t="s">
        <v>50</v>
      </c>
      <c r="N24" s="149">
        <v>0</v>
      </c>
      <c r="O24" s="149">
        <v>2</v>
      </c>
      <c r="P24" s="138">
        <v>4.72</v>
      </c>
      <c r="Q24" s="251"/>
      <c r="R24" s="49"/>
      <c r="S24" s="137"/>
      <c r="T24" s="137"/>
      <c r="U24" s="138"/>
      <c r="V24" s="139"/>
      <c r="W24" s="243"/>
      <c r="X24" s="149"/>
      <c r="Y24" s="149"/>
      <c r="Z24" s="138"/>
      <c r="AA24" s="139"/>
      <c r="AB24" s="15">
        <f t="shared" si="1"/>
        <v>1</v>
      </c>
      <c r="AC24" s="17">
        <f t="shared" si="0"/>
        <v>0</v>
      </c>
      <c r="AD24" s="17">
        <f t="shared" si="0"/>
        <v>2</v>
      </c>
      <c r="AE24" s="17">
        <f t="shared" si="2"/>
        <v>2</v>
      </c>
      <c r="AF24" s="17">
        <f t="shared" si="3"/>
        <v>0</v>
      </c>
      <c r="AG24" s="19">
        <f t="shared" si="4"/>
        <v>4.72</v>
      </c>
    </row>
    <row r="25" spans="2:33" x14ac:dyDescent="0.25">
      <c r="B25" s="236" t="s">
        <v>19</v>
      </c>
      <c r="C25" s="49" t="s">
        <v>50</v>
      </c>
      <c r="D25" s="137">
        <v>0</v>
      </c>
      <c r="E25" s="137">
        <v>0</v>
      </c>
      <c r="F25" s="138">
        <v>3.94</v>
      </c>
      <c r="G25" s="144"/>
      <c r="H25" s="148" t="s">
        <v>50</v>
      </c>
      <c r="I25" s="149">
        <v>1</v>
      </c>
      <c r="J25" s="149">
        <v>0</v>
      </c>
      <c r="K25" s="138">
        <v>4.62</v>
      </c>
      <c r="L25" s="139"/>
      <c r="M25" s="243"/>
      <c r="N25" s="149"/>
      <c r="O25" s="149"/>
      <c r="P25" s="138"/>
      <c r="Q25" s="251"/>
      <c r="R25" s="49"/>
      <c r="S25" s="137"/>
      <c r="T25" s="137"/>
      <c r="U25" s="138"/>
      <c r="V25" s="139"/>
      <c r="W25" s="243"/>
      <c r="X25" s="149"/>
      <c r="Y25" s="149"/>
      <c r="Z25" s="138"/>
      <c r="AA25" s="139"/>
      <c r="AB25" s="15">
        <f t="shared" si="1"/>
        <v>2</v>
      </c>
      <c r="AC25" s="17">
        <f t="shared" si="0"/>
        <v>1</v>
      </c>
      <c r="AD25" s="17">
        <f t="shared" si="0"/>
        <v>0</v>
      </c>
      <c r="AE25" s="17">
        <f t="shared" si="2"/>
        <v>1</v>
      </c>
      <c r="AF25" s="17">
        <f t="shared" si="3"/>
        <v>0</v>
      </c>
      <c r="AG25" s="19">
        <f t="shared" si="4"/>
        <v>4.28</v>
      </c>
    </row>
    <row r="26" spans="2:33" x14ac:dyDescent="0.25">
      <c r="B26" s="236" t="s">
        <v>79</v>
      </c>
      <c r="C26" s="49"/>
      <c r="D26" s="137"/>
      <c r="E26" s="137"/>
      <c r="F26" s="138"/>
      <c r="G26" s="144"/>
      <c r="H26" s="148" t="s">
        <v>50</v>
      </c>
      <c r="I26" s="149">
        <v>1</v>
      </c>
      <c r="J26" s="149">
        <v>1</v>
      </c>
      <c r="K26" s="138">
        <v>4.4000000000000004</v>
      </c>
      <c r="L26" s="139"/>
      <c r="M26" s="243" t="s">
        <v>50</v>
      </c>
      <c r="N26" s="149">
        <v>1</v>
      </c>
      <c r="O26" s="149">
        <v>0</v>
      </c>
      <c r="P26" s="138">
        <v>5.58</v>
      </c>
      <c r="Q26" s="251"/>
      <c r="R26" s="49" t="s">
        <v>50</v>
      </c>
      <c r="S26" s="137">
        <v>1</v>
      </c>
      <c r="T26" s="137">
        <v>0</v>
      </c>
      <c r="U26" s="138">
        <v>5.08</v>
      </c>
      <c r="V26" s="139"/>
      <c r="W26" s="243"/>
      <c r="X26" s="149"/>
      <c r="Y26" s="149"/>
      <c r="Z26" s="138"/>
      <c r="AA26" s="139"/>
      <c r="AB26" s="15">
        <f t="shared" si="1"/>
        <v>3</v>
      </c>
      <c r="AC26" s="17">
        <f t="shared" si="0"/>
        <v>3</v>
      </c>
      <c r="AD26" s="17">
        <f t="shared" si="0"/>
        <v>1</v>
      </c>
      <c r="AE26" s="17">
        <f t="shared" si="2"/>
        <v>4</v>
      </c>
      <c r="AF26" s="17">
        <f t="shared" si="3"/>
        <v>0</v>
      </c>
      <c r="AG26" s="19">
        <f t="shared" si="4"/>
        <v>5.0200000000000005</v>
      </c>
    </row>
    <row r="27" spans="2:33" x14ac:dyDescent="0.25">
      <c r="B27" s="236" t="s">
        <v>20</v>
      </c>
      <c r="C27" s="49" t="s">
        <v>50</v>
      </c>
      <c r="D27" s="137">
        <v>3</v>
      </c>
      <c r="E27" s="137">
        <v>1</v>
      </c>
      <c r="F27" s="138">
        <v>8.34</v>
      </c>
      <c r="G27" s="240" t="s">
        <v>76</v>
      </c>
      <c r="H27" s="148" t="s">
        <v>50</v>
      </c>
      <c r="I27" s="149">
        <v>1</v>
      </c>
      <c r="J27" s="149">
        <v>2</v>
      </c>
      <c r="K27" s="138">
        <v>4.0599999999999996</v>
      </c>
      <c r="L27" s="139"/>
      <c r="M27" s="243" t="s">
        <v>50</v>
      </c>
      <c r="N27" s="149">
        <v>2</v>
      </c>
      <c r="O27" s="149">
        <v>0</v>
      </c>
      <c r="P27" s="138">
        <v>5.46</v>
      </c>
      <c r="Q27" s="252" t="s">
        <v>76</v>
      </c>
      <c r="R27" s="49"/>
      <c r="S27" s="137"/>
      <c r="T27" s="137"/>
      <c r="U27" s="138"/>
      <c r="V27" s="139"/>
      <c r="W27" s="243"/>
      <c r="X27" s="149"/>
      <c r="Y27" s="149"/>
      <c r="Z27" s="138"/>
      <c r="AA27" s="155"/>
      <c r="AB27" s="15">
        <f t="shared" si="1"/>
        <v>3</v>
      </c>
      <c r="AC27" s="17">
        <f t="shared" si="0"/>
        <v>6</v>
      </c>
      <c r="AD27" s="17">
        <f t="shared" si="0"/>
        <v>3</v>
      </c>
      <c r="AE27" s="17">
        <f t="shared" si="2"/>
        <v>9</v>
      </c>
      <c r="AF27" s="17">
        <f t="shared" si="3"/>
        <v>2</v>
      </c>
      <c r="AG27" s="19">
        <f t="shared" si="4"/>
        <v>5.9533333333333331</v>
      </c>
    </row>
    <row r="28" spans="2:33" x14ac:dyDescent="0.25">
      <c r="B28" s="237" t="s">
        <v>82</v>
      </c>
      <c r="C28" s="9"/>
      <c r="D28" s="159"/>
      <c r="E28" s="159"/>
      <c r="F28" s="4"/>
      <c r="G28" s="37"/>
      <c r="H28" s="9"/>
      <c r="I28" s="159"/>
      <c r="J28" s="159"/>
      <c r="K28" s="4"/>
      <c r="L28" s="10"/>
      <c r="M28" s="23" t="s">
        <v>50</v>
      </c>
      <c r="N28" s="159">
        <v>0</v>
      </c>
      <c r="O28" s="159">
        <v>0</v>
      </c>
      <c r="P28" s="4">
        <v>5.78</v>
      </c>
      <c r="Q28" s="253"/>
      <c r="R28" s="9" t="s">
        <v>50</v>
      </c>
      <c r="S28" s="159">
        <v>1</v>
      </c>
      <c r="T28" s="159">
        <v>0</v>
      </c>
      <c r="U28" s="4">
        <v>6.16</v>
      </c>
      <c r="V28" s="270" t="s">
        <v>76</v>
      </c>
      <c r="W28" s="259"/>
      <c r="X28" s="3"/>
      <c r="Y28" s="3"/>
      <c r="Z28" s="4"/>
      <c r="AA28" s="10"/>
      <c r="AB28" s="15">
        <f t="shared" si="1"/>
        <v>2</v>
      </c>
      <c r="AC28" s="17">
        <f t="shared" si="0"/>
        <v>1</v>
      </c>
      <c r="AD28" s="17">
        <f t="shared" si="0"/>
        <v>0</v>
      </c>
      <c r="AE28" s="17">
        <f t="shared" si="2"/>
        <v>1</v>
      </c>
      <c r="AF28" s="17">
        <f t="shared" si="3"/>
        <v>1</v>
      </c>
      <c r="AG28" s="19">
        <f t="shared" si="4"/>
        <v>5.9700000000000006</v>
      </c>
    </row>
    <row r="29" spans="2:33" x14ac:dyDescent="0.25">
      <c r="B29" s="236" t="s">
        <v>21</v>
      </c>
      <c r="C29" s="49"/>
      <c r="D29" s="137"/>
      <c r="E29" s="137"/>
      <c r="F29" s="138"/>
      <c r="G29" s="144"/>
      <c r="H29" s="148"/>
      <c r="I29" s="149"/>
      <c r="J29" s="149"/>
      <c r="K29" s="138"/>
      <c r="L29" s="139"/>
      <c r="M29" s="243"/>
      <c r="N29" s="149"/>
      <c r="O29" s="149"/>
      <c r="P29" s="138"/>
      <c r="Q29" s="251"/>
      <c r="R29" s="49"/>
      <c r="S29" s="137"/>
      <c r="T29" s="137"/>
      <c r="U29" s="138"/>
      <c r="V29" s="139"/>
      <c r="W29" s="243"/>
      <c r="X29" s="149"/>
      <c r="Y29" s="149"/>
      <c r="Z29" s="138"/>
      <c r="AA29" s="139"/>
      <c r="AB29" s="15">
        <f t="shared" si="1"/>
        <v>0</v>
      </c>
      <c r="AC29" s="17">
        <f t="shared" si="0"/>
        <v>0</v>
      </c>
      <c r="AD29" s="17">
        <f t="shared" si="0"/>
        <v>0</v>
      </c>
      <c r="AE29" s="17">
        <f t="shared" si="2"/>
        <v>0</v>
      </c>
      <c r="AF29" s="17">
        <f t="shared" si="3"/>
        <v>0</v>
      </c>
      <c r="AG29" s="19" t="str">
        <f t="shared" si="4"/>
        <v>-</v>
      </c>
    </row>
    <row r="30" spans="2:33" x14ac:dyDescent="0.25">
      <c r="B30" s="236" t="s">
        <v>22</v>
      </c>
      <c r="C30" s="49" t="s">
        <v>50</v>
      </c>
      <c r="D30" s="137">
        <v>1</v>
      </c>
      <c r="E30" s="137">
        <v>1</v>
      </c>
      <c r="F30" s="138">
        <v>4.66</v>
      </c>
      <c r="G30" s="144"/>
      <c r="H30" s="148" t="s">
        <v>50</v>
      </c>
      <c r="I30" s="149">
        <v>3</v>
      </c>
      <c r="J30" s="149">
        <v>1</v>
      </c>
      <c r="K30" s="138">
        <v>4.8</v>
      </c>
      <c r="L30" s="139"/>
      <c r="M30" s="243" t="s">
        <v>50</v>
      </c>
      <c r="N30" s="149">
        <v>0</v>
      </c>
      <c r="O30" s="149">
        <v>0</v>
      </c>
      <c r="P30" s="138">
        <v>3.76</v>
      </c>
      <c r="Q30" s="251"/>
      <c r="R30" s="49" t="s">
        <v>50</v>
      </c>
      <c r="S30" s="137">
        <v>3</v>
      </c>
      <c r="T30" s="137">
        <v>1</v>
      </c>
      <c r="U30" s="138">
        <v>4.92</v>
      </c>
      <c r="V30" s="139"/>
      <c r="W30" s="243"/>
      <c r="X30" s="149"/>
      <c r="Y30" s="149"/>
      <c r="Z30" s="138"/>
      <c r="AA30" s="155"/>
      <c r="AB30" s="15">
        <f t="shared" si="1"/>
        <v>4</v>
      </c>
      <c r="AC30" s="17">
        <f t="shared" si="0"/>
        <v>7</v>
      </c>
      <c r="AD30" s="17">
        <f t="shared" si="0"/>
        <v>3</v>
      </c>
      <c r="AE30" s="17">
        <f t="shared" si="2"/>
        <v>10</v>
      </c>
      <c r="AF30" s="17">
        <f t="shared" si="3"/>
        <v>0</v>
      </c>
      <c r="AG30" s="19">
        <f t="shared" si="4"/>
        <v>4.5350000000000001</v>
      </c>
    </row>
    <row r="31" spans="2:33" x14ac:dyDescent="0.25">
      <c r="B31" s="236" t="s">
        <v>23</v>
      </c>
      <c r="C31" s="49" t="s">
        <v>50</v>
      </c>
      <c r="D31" s="137">
        <v>0</v>
      </c>
      <c r="E31" s="137">
        <v>1</v>
      </c>
      <c r="F31" s="138">
        <v>4.9400000000000004</v>
      </c>
      <c r="G31" s="144"/>
      <c r="H31" s="148"/>
      <c r="I31" s="149"/>
      <c r="J31" s="149"/>
      <c r="K31" s="138"/>
      <c r="L31" s="139"/>
      <c r="M31" s="243" t="s">
        <v>50</v>
      </c>
      <c r="N31" s="149">
        <v>0</v>
      </c>
      <c r="O31" s="149">
        <v>0</v>
      </c>
      <c r="P31" s="138">
        <v>5.46</v>
      </c>
      <c r="Q31" s="251"/>
      <c r="R31" s="49" t="s">
        <v>50</v>
      </c>
      <c r="S31" s="137">
        <v>2</v>
      </c>
      <c r="T31" s="137">
        <v>1</v>
      </c>
      <c r="U31" s="138">
        <v>4.92</v>
      </c>
      <c r="V31" s="139"/>
      <c r="W31" s="243"/>
      <c r="X31" s="149"/>
      <c r="Y31" s="149"/>
      <c r="Z31" s="138"/>
      <c r="AA31" s="155"/>
      <c r="AB31" s="15">
        <f t="shared" si="1"/>
        <v>3</v>
      </c>
      <c r="AC31" s="17">
        <f t="shared" si="0"/>
        <v>2</v>
      </c>
      <c r="AD31" s="17">
        <f t="shared" si="0"/>
        <v>2</v>
      </c>
      <c r="AE31" s="17">
        <f t="shared" si="2"/>
        <v>4</v>
      </c>
      <c r="AF31" s="17">
        <f t="shared" si="3"/>
        <v>0</v>
      </c>
      <c r="AG31" s="19">
        <f t="shared" si="4"/>
        <v>5.1066666666666665</v>
      </c>
    </row>
    <row r="32" spans="2:33" x14ac:dyDescent="0.25">
      <c r="B32" s="237" t="s">
        <v>84</v>
      </c>
      <c r="C32" s="9"/>
      <c r="D32" s="159"/>
      <c r="E32" s="159"/>
      <c r="F32" s="4"/>
      <c r="G32" s="37"/>
      <c r="H32" s="9"/>
      <c r="I32" s="159"/>
      <c r="J32" s="159"/>
      <c r="K32" s="4"/>
      <c r="L32" s="10"/>
      <c r="M32" s="23"/>
      <c r="N32" s="159"/>
      <c r="O32" s="159"/>
      <c r="P32" s="4"/>
      <c r="Q32" s="253"/>
      <c r="R32" s="9"/>
      <c r="S32" s="159"/>
      <c r="T32" s="159"/>
      <c r="U32" s="4"/>
      <c r="V32" s="10"/>
      <c r="W32" s="259"/>
      <c r="X32" s="3"/>
      <c r="Y32" s="3"/>
      <c r="Z32" s="4"/>
      <c r="AA32" s="10"/>
      <c r="AB32" s="15">
        <f t="shared" si="1"/>
        <v>0</v>
      </c>
      <c r="AC32" s="17">
        <f t="shared" si="0"/>
        <v>0</v>
      </c>
      <c r="AD32" s="17">
        <f t="shared" si="0"/>
        <v>0</v>
      </c>
      <c r="AE32" s="17">
        <f t="shared" si="2"/>
        <v>0</v>
      </c>
      <c r="AF32" s="17">
        <f t="shared" si="3"/>
        <v>0</v>
      </c>
      <c r="AG32" s="19" t="str">
        <f t="shared" si="4"/>
        <v>-</v>
      </c>
    </row>
    <row r="33" spans="2:33" x14ac:dyDescent="0.25">
      <c r="B33" s="236" t="s">
        <v>24</v>
      </c>
      <c r="C33" s="49"/>
      <c r="D33" s="137"/>
      <c r="E33" s="137"/>
      <c r="F33" s="138"/>
      <c r="G33" s="144"/>
      <c r="H33" s="148"/>
      <c r="I33" s="149"/>
      <c r="J33" s="149"/>
      <c r="K33" s="138"/>
      <c r="L33" s="139"/>
      <c r="M33" s="243"/>
      <c r="N33" s="149"/>
      <c r="O33" s="149"/>
      <c r="P33" s="138"/>
      <c r="Q33" s="251"/>
      <c r="R33" s="49"/>
      <c r="S33" s="137"/>
      <c r="T33" s="137"/>
      <c r="U33" s="138"/>
      <c r="V33" s="139"/>
      <c r="W33" s="243"/>
      <c r="X33" s="149"/>
      <c r="Y33" s="149"/>
      <c r="Z33" s="138"/>
      <c r="AA33" s="139"/>
      <c r="AB33" s="15">
        <f t="shared" si="1"/>
        <v>0</v>
      </c>
      <c r="AC33" s="17">
        <f t="shared" si="0"/>
        <v>0</v>
      </c>
      <c r="AD33" s="17">
        <f t="shared" si="0"/>
        <v>0</v>
      </c>
      <c r="AE33" s="17">
        <f t="shared" si="2"/>
        <v>0</v>
      </c>
      <c r="AF33" s="17">
        <f t="shared" si="3"/>
        <v>0</v>
      </c>
      <c r="AG33" s="19" t="str">
        <f t="shared" si="4"/>
        <v>-</v>
      </c>
    </row>
    <row r="34" spans="2:33" x14ac:dyDescent="0.25">
      <c r="B34" s="236" t="s">
        <v>25</v>
      </c>
      <c r="C34" s="49"/>
      <c r="D34" s="137"/>
      <c r="E34" s="137"/>
      <c r="F34" s="138"/>
      <c r="G34" s="144"/>
      <c r="H34" s="148"/>
      <c r="I34" s="149"/>
      <c r="J34" s="149"/>
      <c r="K34" s="138"/>
      <c r="L34" s="139"/>
      <c r="M34" s="243"/>
      <c r="N34" s="149"/>
      <c r="O34" s="149"/>
      <c r="P34" s="138"/>
      <c r="Q34" s="251"/>
      <c r="R34" s="49"/>
      <c r="S34" s="137"/>
      <c r="T34" s="137"/>
      <c r="U34" s="138"/>
      <c r="V34" s="139"/>
      <c r="W34" s="243"/>
      <c r="X34" s="149"/>
      <c r="Y34" s="149"/>
      <c r="Z34" s="138"/>
      <c r="AA34" s="139"/>
      <c r="AB34" s="15">
        <f t="shared" si="1"/>
        <v>0</v>
      </c>
      <c r="AC34" s="17">
        <f t="shared" si="0"/>
        <v>0</v>
      </c>
      <c r="AD34" s="17">
        <f t="shared" si="0"/>
        <v>0</v>
      </c>
      <c r="AE34" s="17">
        <f t="shared" si="2"/>
        <v>0</v>
      </c>
      <c r="AF34" s="17">
        <f t="shared" si="3"/>
        <v>0</v>
      </c>
      <c r="AG34" s="19" t="str">
        <f t="shared" si="4"/>
        <v>-</v>
      </c>
    </row>
    <row r="35" spans="2:33" x14ac:dyDescent="0.25">
      <c r="B35" s="236" t="s">
        <v>26</v>
      </c>
      <c r="C35" s="49" t="s">
        <v>50</v>
      </c>
      <c r="D35" s="137">
        <v>0</v>
      </c>
      <c r="E35" s="137">
        <v>0</v>
      </c>
      <c r="F35" s="138">
        <v>3.86</v>
      </c>
      <c r="G35" s="144"/>
      <c r="H35" s="148" t="s">
        <v>50</v>
      </c>
      <c r="I35" s="149">
        <v>2</v>
      </c>
      <c r="J35" s="149">
        <v>3</v>
      </c>
      <c r="K35" s="138">
        <v>5.74</v>
      </c>
      <c r="L35" s="139"/>
      <c r="M35" s="243" t="s">
        <v>50</v>
      </c>
      <c r="N35" s="149">
        <v>2</v>
      </c>
      <c r="O35" s="149">
        <v>3</v>
      </c>
      <c r="P35" s="138">
        <v>7.16</v>
      </c>
      <c r="Q35" s="252" t="s">
        <v>76</v>
      </c>
      <c r="R35" s="49" t="s">
        <v>50</v>
      </c>
      <c r="S35" s="137">
        <v>3</v>
      </c>
      <c r="T35" s="137">
        <v>4</v>
      </c>
      <c r="U35" s="138">
        <v>6.62</v>
      </c>
      <c r="V35" s="270" t="s">
        <v>76</v>
      </c>
      <c r="W35" s="243"/>
      <c r="X35" s="149"/>
      <c r="Y35" s="149"/>
      <c r="Z35" s="138"/>
      <c r="AA35" s="139"/>
      <c r="AB35" s="15">
        <f t="shared" si="1"/>
        <v>4</v>
      </c>
      <c r="AC35" s="17">
        <f t="shared" si="0"/>
        <v>7</v>
      </c>
      <c r="AD35" s="17">
        <f t="shared" si="0"/>
        <v>10</v>
      </c>
      <c r="AE35" s="17">
        <f t="shared" si="2"/>
        <v>17</v>
      </c>
      <c r="AF35" s="17">
        <f t="shared" si="3"/>
        <v>2</v>
      </c>
      <c r="AG35" s="19">
        <f t="shared" si="4"/>
        <v>5.8449999999999998</v>
      </c>
    </row>
    <row r="36" spans="2:33" x14ac:dyDescent="0.25">
      <c r="B36" s="236" t="s">
        <v>27</v>
      </c>
      <c r="C36" s="49" t="s">
        <v>50</v>
      </c>
      <c r="D36" s="137">
        <v>1</v>
      </c>
      <c r="E36" s="137">
        <v>3</v>
      </c>
      <c r="F36" s="138">
        <v>7</v>
      </c>
      <c r="G36" s="240" t="s">
        <v>76</v>
      </c>
      <c r="H36" s="148" t="s">
        <v>50</v>
      </c>
      <c r="I36" s="149">
        <v>0</v>
      </c>
      <c r="J36" s="149">
        <v>0</v>
      </c>
      <c r="K36" s="138">
        <v>3.76</v>
      </c>
      <c r="L36" s="139"/>
      <c r="M36" s="243" t="s">
        <v>50</v>
      </c>
      <c r="N36" s="149">
        <v>1</v>
      </c>
      <c r="O36" s="149">
        <v>0</v>
      </c>
      <c r="P36" s="138">
        <v>4.46</v>
      </c>
      <c r="Q36" s="251"/>
      <c r="R36" s="49" t="s">
        <v>50</v>
      </c>
      <c r="S36" s="137">
        <v>0</v>
      </c>
      <c r="T36" s="137">
        <v>1</v>
      </c>
      <c r="U36" s="138">
        <v>4</v>
      </c>
      <c r="V36" s="139"/>
      <c r="W36" s="243"/>
      <c r="X36" s="149"/>
      <c r="Y36" s="149"/>
      <c r="Z36" s="138"/>
      <c r="AA36" s="139"/>
      <c r="AB36" s="15">
        <f t="shared" si="1"/>
        <v>4</v>
      </c>
      <c r="AC36" s="17">
        <f t="shared" si="0"/>
        <v>2</v>
      </c>
      <c r="AD36" s="17">
        <f t="shared" si="0"/>
        <v>4</v>
      </c>
      <c r="AE36" s="17">
        <f t="shared" si="2"/>
        <v>6</v>
      </c>
      <c r="AF36" s="17">
        <f t="shared" si="3"/>
        <v>1</v>
      </c>
      <c r="AG36" s="19">
        <f t="shared" si="4"/>
        <v>4.8049999999999997</v>
      </c>
    </row>
    <row r="37" spans="2:33" x14ac:dyDescent="0.25">
      <c r="B37" s="236" t="s">
        <v>28</v>
      </c>
      <c r="C37" s="49"/>
      <c r="D37" s="137"/>
      <c r="E37" s="137"/>
      <c r="F37" s="138"/>
      <c r="G37" s="144"/>
      <c r="H37" s="148" t="s">
        <v>50</v>
      </c>
      <c r="I37" s="149">
        <v>0</v>
      </c>
      <c r="J37" s="149">
        <v>1</v>
      </c>
      <c r="K37" s="138">
        <v>5.2</v>
      </c>
      <c r="L37" s="139"/>
      <c r="M37" s="243"/>
      <c r="N37" s="149"/>
      <c r="O37" s="149"/>
      <c r="P37" s="138"/>
      <c r="Q37" s="251"/>
      <c r="R37" s="49"/>
      <c r="S37" s="137"/>
      <c r="T37" s="137"/>
      <c r="U37" s="138"/>
      <c r="V37" s="139"/>
      <c r="W37" s="243"/>
      <c r="X37" s="149"/>
      <c r="Y37" s="149"/>
      <c r="Z37" s="138"/>
      <c r="AA37" s="139"/>
      <c r="AB37" s="15">
        <f t="shared" si="1"/>
        <v>1</v>
      </c>
      <c r="AC37" s="17">
        <f t="shared" si="0"/>
        <v>0</v>
      </c>
      <c r="AD37" s="17">
        <f t="shared" si="0"/>
        <v>1</v>
      </c>
      <c r="AE37" s="17">
        <f t="shared" si="2"/>
        <v>1</v>
      </c>
      <c r="AF37" s="17">
        <f t="shared" si="3"/>
        <v>0</v>
      </c>
      <c r="AG37" s="19">
        <f t="shared" si="4"/>
        <v>5.2</v>
      </c>
    </row>
    <row r="38" spans="2:33" x14ac:dyDescent="0.25">
      <c r="B38" s="236" t="s">
        <v>77</v>
      </c>
      <c r="C38" s="49"/>
      <c r="D38" s="137"/>
      <c r="E38" s="137"/>
      <c r="F38" s="138"/>
      <c r="G38" s="144"/>
      <c r="H38" s="148"/>
      <c r="I38" s="149"/>
      <c r="J38" s="149"/>
      <c r="K38" s="138"/>
      <c r="L38" s="139"/>
      <c r="M38" s="243"/>
      <c r="N38" s="149"/>
      <c r="O38" s="149"/>
      <c r="P38" s="138"/>
      <c r="Q38" s="251"/>
      <c r="R38" s="49"/>
      <c r="S38" s="137"/>
      <c r="T38" s="137"/>
      <c r="U38" s="138"/>
      <c r="V38" s="139"/>
      <c r="W38" s="243"/>
      <c r="X38" s="149"/>
      <c r="Y38" s="149"/>
      <c r="Z38" s="138"/>
      <c r="AA38" s="139"/>
      <c r="AB38" s="15">
        <f t="shared" si="1"/>
        <v>0</v>
      </c>
      <c r="AC38" s="17">
        <f t="shared" si="0"/>
        <v>0</v>
      </c>
      <c r="AD38" s="17">
        <f t="shared" si="0"/>
        <v>0</v>
      </c>
      <c r="AE38" s="17">
        <f t="shared" si="2"/>
        <v>0</v>
      </c>
      <c r="AF38" s="17">
        <f t="shared" si="3"/>
        <v>0</v>
      </c>
      <c r="AG38" s="19" t="str">
        <f t="shared" si="4"/>
        <v>-</v>
      </c>
    </row>
    <row r="39" spans="2:33" x14ac:dyDescent="0.25">
      <c r="B39" s="236" t="s">
        <v>29</v>
      </c>
      <c r="C39" s="49"/>
      <c r="D39" s="137"/>
      <c r="E39" s="137"/>
      <c r="F39" s="138"/>
      <c r="G39" s="144"/>
      <c r="H39" s="148"/>
      <c r="I39" s="149"/>
      <c r="J39" s="149"/>
      <c r="K39" s="138"/>
      <c r="L39" s="139"/>
      <c r="M39" s="243" t="s">
        <v>50</v>
      </c>
      <c r="N39" s="149">
        <v>0</v>
      </c>
      <c r="O39" s="149">
        <v>1</v>
      </c>
      <c r="P39" s="138">
        <v>5.84</v>
      </c>
      <c r="Q39" s="252" t="s">
        <v>76</v>
      </c>
      <c r="R39" s="49"/>
      <c r="S39" s="137"/>
      <c r="T39" s="137"/>
      <c r="U39" s="138"/>
      <c r="V39" s="139"/>
      <c r="W39" s="243"/>
      <c r="X39" s="149"/>
      <c r="Y39" s="149"/>
      <c r="Z39" s="138"/>
      <c r="AA39" s="139"/>
      <c r="AB39" s="15">
        <f t="shared" si="1"/>
        <v>1</v>
      </c>
      <c r="AC39" s="17">
        <f t="shared" si="0"/>
        <v>0</v>
      </c>
      <c r="AD39" s="17">
        <f t="shared" si="0"/>
        <v>1</v>
      </c>
      <c r="AE39" s="17">
        <f t="shared" si="2"/>
        <v>1</v>
      </c>
      <c r="AF39" s="17">
        <f t="shared" si="3"/>
        <v>1</v>
      </c>
      <c r="AG39" s="19">
        <f t="shared" si="4"/>
        <v>5.84</v>
      </c>
    </row>
    <row r="40" spans="2:33" x14ac:dyDescent="0.25">
      <c r="B40" s="236" t="s">
        <v>30</v>
      </c>
      <c r="C40" s="49"/>
      <c r="D40" s="137"/>
      <c r="E40" s="137"/>
      <c r="F40" s="138"/>
      <c r="G40" s="144"/>
      <c r="H40" s="148"/>
      <c r="I40" s="149"/>
      <c r="J40" s="149"/>
      <c r="K40" s="138"/>
      <c r="L40" s="139"/>
      <c r="M40" s="243"/>
      <c r="N40" s="149"/>
      <c r="O40" s="149"/>
      <c r="P40" s="138"/>
      <c r="Q40" s="251"/>
      <c r="R40" s="49"/>
      <c r="S40" s="137"/>
      <c r="T40" s="137"/>
      <c r="U40" s="138"/>
      <c r="V40" s="139"/>
      <c r="W40" s="243"/>
      <c r="X40" s="149"/>
      <c r="Y40" s="149"/>
      <c r="Z40" s="138"/>
      <c r="AA40" s="139"/>
      <c r="AB40" s="15">
        <f t="shared" si="1"/>
        <v>0</v>
      </c>
      <c r="AC40" s="17">
        <f t="shared" si="0"/>
        <v>0</v>
      </c>
      <c r="AD40" s="17">
        <f t="shared" si="0"/>
        <v>0</v>
      </c>
      <c r="AE40" s="17">
        <f t="shared" si="2"/>
        <v>0</v>
      </c>
      <c r="AF40" s="17">
        <f t="shared" si="3"/>
        <v>0</v>
      </c>
      <c r="AG40" s="19" t="str">
        <f t="shared" si="4"/>
        <v>-</v>
      </c>
    </row>
    <row r="41" spans="2:33" x14ac:dyDescent="0.25">
      <c r="B41" s="236" t="s">
        <v>31</v>
      </c>
      <c r="C41" s="49"/>
      <c r="D41" s="137"/>
      <c r="E41" s="137"/>
      <c r="F41" s="138"/>
      <c r="G41" s="144"/>
      <c r="H41" s="148" t="s">
        <v>50</v>
      </c>
      <c r="I41" s="149">
        <v>0</v>
      </c>
      <c r="J41" s="149">
        <v>0</v>
      </c>
      <c r="K41" s="138">
        <v>3.62</v>
      </c>
      <c r="L41" s="139"/>
      <c r="M41" s="243"/>
      <c r="N41" s="149"/>
      <c r="O41" s="149"/>
      <c r="P41" s="138"/>
      <c r="Q41" s="251"/>
      <c r="R41" s="49"/>
      <c r="S41" s="137"/>
      <c r="T41" s="137"/>
      <c r="U41" s="138"/>
      <c r="V41" s="139"/>
      <c r="W41" s="243"/>
      <c r="X41" s="149"/>
      <c r="Y41" s="149"/>
      <c r="Z41" s="138"/>
      <c r="AA41" s="155"/>
      <c r="AB41" s="15">
        <f t="shared" si="1"/>
        <v>1</v>
      </c>
      <c r="AC41" s="17">
        <f t="shared" si="0"/>
        <v>0</v>
      </c>
      <c r="AD41" s="17">
        <f t="shared" si="0"/>
        <v>0</v>
      </c>
      <c r="AE41" s="17">
        <f t="shared" si="2"/>
        <v>0</v>
      </c>
      <c r="AF41" s="17">
        <f t="shared" si="3"/>
        <v>0</v>
      </c>
      <c r="AG41" s="19">
        <f t="shared" si="4"/>
        <v>3.62</v>
      </c>
    </row>
    <row r="42" spans="2:33" x14ac:dyDescent="0.25">
      <c r="B42" s="236" t="s">
        <v>32</v>
      </c>
      <c r="C42" s="49"/>
      <c r="D42" s="137"/>
      <c r="E42" s="137"/>
      <c r="F42" s="138"/>
      <c r="G42" s="144"/>
      <c r="H42" s="148"/>
      <c r="I42" s="149"/>
      <c r="J42" s="149"/>
      <c r="K42" s="138"/>
      <c r="L42" s="139"/>
      <c r="M42" s="243"/>
      <c r="N42" s="149"/>
      <c r="O42" s="149"/>
      <c r="P42" s="138"/>
      <c r="Q42" s="251"/>
      <c r="R42" s="49"/>
      <c r="S42" s="137"/>
      <c r="T42" s="137"/>
      <c r="U42" s="138"/>
      <c r="V42" s="139"/>
      <c r="W42" s="243"/>
      <c r="X42" s="149"/>
      <c r="Y42" s="149"/>
      <c r="Z42" s="138"/>
      <c r="AA42" s="139"/>
      <c r="AB42" s="15">
        <f t="shared" si="1"/>
        <v>0</v>
      </c>
      <c r="AC42" s="17">
        <f t="shared" si="0"/>
        <v>0</v>
      </c>
      <c r="AD42" s="17">
        <f t="shared" si="0"/>
        <v>0</v>
      </c>
      <c r="AE42" s="17">
        <f t="shared" si="2"/>
        <v>0</v>
      </c>
      <c r="AF42" s="17">
        <f t="shared" si="3"/>
        <v>0</v>
      </c>
      <c r="AG42" s="19" t="str">
        <f t="shared" si="4"/>
        <v>-</v>
      </c>
    </row>
    <row r="43" spans="2:33" x14ac:dyDescent="0.25">
      <c r="B43" s="236" t="s">
        <v>33</v>
      </c>
      <c r="C43" s="49"/>
      <c r="D43" s="137"/>
      <c r="E43" s="137"/>
      <c r="F43" s="138"/>
      <c r="G43" s="144"/>
      <c r="H43" s="148"/>
      <c r="I43" s="149"/>
      <c r="J43" s="149"/>
      <c r="K43" s="138"/>
      <c r="L43" s="139"/>
      <c r="M43" s="243"/>
      <c r="N43" s="149"/>
      <c r="O43" s="149"/>
      <c r="P43" s="138"/>
      <c r="Q43" s="251"/>
      <c r="R43" s="49"/>
      <c r="S43" s="137"/>
      <c r="T43" s="137"/>
      <c r="U43" s="138"/>
      <c r="V43" s="139"/>
      <c r="W43" s="243"/>
      <c r="X43" s="149"/>
      <c r="Y43" s="149"/>
      <c r="Z43" s="138"/>
      <c r="AA43" s="139"/>
      <c r="AB43" s="15">
        <f t="shared" si="1"/>
        <v>0</v>
      </c>
      <c r="AC43" s="17">
        <f t="shared" si="0"/>
        <v>0</v>
      </c>
      <c r="AD43" s="17">
        <f t="shared" si="0"/>
        <v>0</v>
      </c>
      <c r="AE43" s="17">
        <f t="shared" si="2"/>
        <v>0</v>
      </c>
      <c r="AF43" s="17">
        <f t="shared" si="3"/>
        <v>0</v>
      </c>
      <c r="AG43" s="19" t="str">
        <f t="shared" si="4"/>
        <v>-</v>
      </c>
    </row>
    <row r="44" spans="2:33" x14ac:dyDescent="0.25">
      <c r="B44" s="236" t="s">
        <v>34</v>
      </c>
      <c r="C44" s="49"/>
      <c r="D44" s="137"/>
      <c r="E44" s="137"/>
      <c r="F44" s="138"/>
      <c r="G44" s="144"/>
      <c r="H44" s="148"/>
      <c r="I44" s="149"/>
      <c r="J44" s="149"/>
      <c r="K44" s="138"/>
      <c r="L44" s="139"/>
      <c r="M44" s="243"/>
      <c r="N44" s="149"/>
      <c r="O44" s="149"/>
      <c r="P44" s="138"/>
      <c r="Q44" s="251"/>
      <c r="R44" s="49"/>
      <c r="S44" s="137"/>
      <c r="T44" s="137"/>
      <c r="U44" s="138"/>
      <c r="V44" s="139"/>
      <c r="W44" s="243"/>
      <c r="X44" s="149"/>
      <c r="Y44" s="149"/>
      <c r="Z44" s="138"/>
      <c r="AA44" s="139"/>
      <c r="AB44" s="15">
        <f t="shared" si="1"/>
        <v>0</v>
      </c>
      <c r="AC44" s="17">
        <f t="shared" si="0"/>
        <v>0</v>
      </c>
      <c r="AD44" s="17">
        <f t="shared" si="0"/>
        <v>0</v>
      </c>
      <c r="AE44" s="17">
        <f t="shared" si="2"/>
        <v>0</v>
      </c>
      <c r="AF44" s="17">
        <f t="shared" si="3"/>
        <v>0</v>
      </c>
      <c r="AG44" s="19" t="str">
        <f t="shared" si="4"/>
        <v>-</v>
      </c>
    </row>
    <row r="45" spans="2:33" x14ac:dyDescent="0.25">
      <c r="B45" s="236" t="s">
        <v>35</v>
      </c>
      <c r="C45" s="49" t="s">
        <v>50</v>
      </c>
      <c r="D45" s="137">
        <v>1</v>
      </c>
      <c r="E45" s="137">
        <v>0</v>
      </c>
      <c r="F45" s="138">
        <v>6.94</v>
      </c>
      <c r="G45" s="240" t="s">
        <v>76</v>
      </c>
      <c r="H45" s="148" t="s">
        <v>50</v>
      </c>
      <c r="I45" s="149">
        <v>0</v>
      </c>
      <c r="J45" s="149">
        <v>0</v>
      </c>
      <c r="K45" s="138">
        <v>5.88</v>
      </c>
      <c r="L45" s="152" t="s">
        <v>76</v>
      </c>
      <c r="M45" s="243"/>
      <c r="N45" s="149"/>
      <c r="O45" s="149"/>
      <c r="P45" s="138"/>
      <c r="Q45" s="251"/>
      <c r="R45" s="49" t="s">
        <v>50</v>
      </c>
      <c r="S45" s="137">
        <v>0</v>
      </c>
      <c r="T45" s="137">
        <v>1</v>
      </c>
      <c r="U45" s="138">
        <v>4.38</v>
      </c>
      <c r="V45" s="139"/>
      <c r="W45" s="243"/>
      <c r="X45" s="149"/>
      <c r="Y45" s="149"/>
      <c r="Z45" s="138"/>
      <c r="AA45" s="155"/>
      <c r="AB45" s="15">
        <f t="shared" si="1"/>
        <v>3</v>
      </c>
      <c r="AC45" s="17">
        <f t="shared" si="0"/>
        <v>1</v>
      </c>
      <c r="AD45" s="17">
        <f t="shared" si="0"/>
        <v>1</v>
      </c>
      <c r="AE45" s="17">
        <f t="shared" si="2"/>
        <v>2</v>
      </c>
      <c r="AF45" s="17">
        <f t="shared" si="3"/>
        <v>2</v>
      </c>
      <c r="AG45" s="19">
        <f t="shared" si="4"/>
        <v>5.7333333333333334</v>
      </c>
    </row>
    <row r="46" spans="2:33" x14ac:dyDescent="0.25">
      <c r="B46" s="236" t="s">
        <v>36</v>
      </c>
      <c r="C46" s="49" t="s">
        <v>50</v>
      </c>
      <c r="D46" s="137">
        <v>0</v>
      </c>
      <c r="E46" s="137">
        <v>0</v>
      </c>
      <c r="F46" s="138">
        <v>5.54</v>
      </c>
      <c r="G46" s="144"/>
      <c r="H46" s="148" t="s">
        <v>50</v>
      </c>
      <c r="I46" s="149">
        <v>0</v>
      </c>
      <c r="J46" s="149">
        <v>0</v>
      </c>
      <c r="K46" s="138">
        <v>4.26</v>
      </c>
      <c r="L46" s="139"/>
      <c r="M46" s="243"/>
      <c r="N46" s="149"/>
      <c r="O46" s="149"/>
      <c r="P46" s="138"/>
      <c r="Q46" s="251"/>
      <c r="R46" s="49"/>
      <c r="S46" s="137"/>
      <c r="T46" s="137"/>
      <c r="U46" s="138"/>
      <c r="V46" s="139"/>
      <c r="W46" s="243"/>
      <c r="X46" s="149"/>
      <c r="Y46" s="149"/>
      <c r="Z46" s="138"/>
      <c r="AA46" s="139"/>
      <c r="AB46" s="15">
        <f t="shared" si="1"/>
        <v>2</v>
      </c>
      <c r="AC46" s="17">
        <f t="shared" si="0"/>
        <v>0</v>
      </c>
      <c r="AD46" s="17">
        <f t="shared" si="0"/>
        <v>0</v>
      </c>
      <c r="AE46" s="17">
        <f t="shared" si="2"/>
        <v>0</v>
      </c>
      <c r="AF46" s="17">
        <f t="shared" si="3"/>
        <v>0</v>
      </c>
      <c r="AG46" s="19">
        <f t="shared" si="4"/>
        <v>4.9000000000000004</v>
      </c>
    </row>
    <row r="47" spans="2:33" x14ac:dyDescent="0.25">
      <c r="B47" s="236" t="s">
        <v>37</v>
      </c>
      <c r="C47" s="49"/>
      <c r="D47" s="137"/>
      <c r="E47" s="137"/>
      <c r="F47" s="138"/>
      <c r="G47" s="144"/>
      <c r="H47" s="148" t="s">
        <v>50</v>
      </c>
      <c r="I47" s="149">
        <v>0</v>
      </c>
      <c r="J47" s="149">
        <v>0</v>
      </c>
      <c r="K47" s="138">
        <v>5.6</v>
      </c>
      <c r="L47" s="139"/>
      <c r="M47" s="243"/>
      <c r="N47" s="149"/>
      <c r="O47" s="149"/>
      <c r="P47" s="138"/>
      <c r="Q47" s="251"/>
      <c r="R47" s="49"/>
      <c r="S47" s="137"/>
      <c r="T47" s="137"/>
      <c r="U47" s="138"/>
      <c r="V47" s="139"/>
      <c r="W47" s="243"/>
      <c r="X47" s="149"/>
      <c r="Y47" s="149"/>
      <c r="Z47" s="138"/>
      <c r="AA47" s="139"/>
      <c r="AB47" s="15">
        <f t="shared" si="1"/>
        <v>1</v>
      </c>
      <c r="AC47" s="17">
        <f t="shared" ref="AC47:AD50" si="5">SUM(D47,I47,N47,S47,X47)</f>
        <v>0</v>
      </c>
      <c r="AD47" s="17">
        <f t="shared" si="5"/>
        <v>0</v>
      </c>
      <c r="AE47" s="17">
        <f t="shared" si="2"/>
        <v>0</v>
      </c>
      <c r="AF47" s="17">
        <f t="shared" si="3"/>
        <v>0</v>
      </c>
      <c r="AG47" s="19">
        <f t="shared" si="4"/>
        <v>5.6</v>
      </c>
    </row>
    <row r="48" spans="2:33" x14ac:dyDescent="0.25">
      <c r="B48" s="237" t="s">
        <v>85</v>
      </c>
      <c r="C48" s="9" t="s">
        <v>50</v>
      </c>
      <c r="D48" s="159">
        <v>2</v>
      </c>
      <c r="E48" s="159">
        <v>0</v>
      </c>
      <c r="F48" s="4"/>
      <c r="G48" s="37"/>
      <c r="H48" s="9" t="s">
        <v>50</v>
      </c>
      <c r="I48" s="159">
        <v>0</v>
      </c>
      <c r="J48" s="159">
        <v>0</v>
      </c>
      <c r="K48" s="4">
        <v>4.32</v>
      </c>
      <c r="L48" s="10"/>
      <c r="M48" s="23" t="s">
        <v>50</v>
      </c>
      <c r="N48" s="159">
        <v>0</v>
      </c>
      <c r="O48" s="159">
        <v>0</v>
      </c>
      <c r="P48" s="4">
        <v>5.76</v>
      </c>
      <c r="Q48" s="253"/>
      <c r="R48" s="9" t="s">
        <v>50</v>
      </c>
      <c r="S48" s="159">
        <v>1</v>
      </c>
      <c r="T48" s="159">
        <v>0</v>
      </c>
      <c r="U48" s="4">
        <v>5.84</v>
      </c>
      <c r="V48" s="270" t="s">
        <v>76</v>
      </c>
      <c r="W48" s="259"/>
      <c r="X48" s="3"/>
      <c r="Y48" s="3"/>
      <c r="Z48" s="4"/>
      <c r="AA48" s="10"/>
      <c r="AB48" s="15">
        <f t="shared" si="1"/>
        <v>4</v>
      </c>
      <c r="AC48" s="17">
        <f t="shared" si="5"/>
        <v>3</v>
      </c>
      <c r="AD48" s="17">
        <f t="shared" si="5"/>
        <v>0</v>
      </c>
      <c r="AE48" s="17">
        <f t="shared" si="2"/>
        <v>3</v>
      </c>
      <c r="AF48" s="17">
        <f t="shared" si="3"/>
        <v>1</v>
      </c>
      <c r="AG48" s="19">
        <f t="shared" si="4"/>
        <v>5.3066666666666666</v>
      </c>
    </row>
    <row r="49" spans="2:33" x14ac:dyDescent="0.25">
      <c r="B49" s="236" t="s">
        <v>38</v>
      </c>
      <c r="C49" s="49"/>
      <c r="D49" s="137"/>
      <c r="E49" s="137"/>
      <c r="F49" s="138"/>
      <c r="G49" s="144"/>
      <c r="H49" s="148"/>
      <c r="I49" s="149"/>
      <c r="J49" s="149"/>
      <c r="K49" s="138"/>
      <c r="L49" s="139"/>
      <c r="M49" s="243"/>
      <c r="N49" s="149"/>
      <c r="O49" s="149"/>
      <c r="P49" s="138"/>
      <c r="Q49" s="251"/>
      <c r="R49" s="49"/>
      <c r="S49" s="137"/>
      <c r="T49" s="137"/>
      <c r="U49" s="138"/>
      <c r="V49" s="139"/>
      <c r="W49" s="243"/>
      <c r="X49" s="149"/>
      <c r="Y49" s="149"/>
      <c r="Z49" s="138"/>
      <c r="AA49" s="139"/>
      <c r="AB49" s="15">
        <f t="shared" si="1"/>
        <v>0</v>
      </c>
      <c r="AC49" s="17">
        <f t="shared" si="5"/>
        <v>0</v>
      </c>
      <c r="AD49" s="17">
        <f t="shared" si="5"/>
        <v>0</v>
      </c>
      <c r="AE49" s="17">
        <f t="shared" si="2"/>
        <v>0</v>
      </c>
      <c r="AF49" s="17">
        <f t="shared" si="3"/>
        <v>0</v>
      </c>
      <c r="AG49" s="19" t="str">
        <f t="shared" si="4"/>
        <v>-</v>
      </c>
    </row>
    <row r="50" spans="2:33" x14ac:dyDescent="0.25">
      <c r="B50" s="236" t="s">
        <v>39</v>
      </c>
      <c r="C50" s="49"/>
      <c r="D50" s="137"/>
      <c r="E50" s="137"/>
      <c r="F50" s="138"/>
      <c r="G50" s="144"/>
      <c r="H50" s="148"/>
      <c r="I50" s="149"/>
      <c r="J50" s="149"/>
      <c r="K50" s="138"/>
      <c r="L50" s="139"/>
      <c r="M50" s="243"/>
      <c r="N50" s="149"/>
      <c r="O50" s="149"/>
      <c r="P50" s="138"/>
      <c r="Q50" s="251"/>
      <c r="R50" s="49"/>
      <c r="S50" s="137"/>
      <c r="T50" s="137"/>
      <c r="U50" s="138"/>
      <c r="V50" s="139"/>
      <c r="W50" s="243"/>
      <c r="X50" s="149"/>
      <c r="Y50" s="149"/>
      <c r="Z50" s="138"/>
      <c r="AA50" s="139"/>
      <c r="AB50" s="15">
        <f t="shared" si="1"/>
        <v>0</v>
      </c>
      <c r="AC50" s="17">
        <f t="shared" si="5"/>
        <v>0</v>
      </c>
      <c r="AD50" s="17">
        <f t="shared" si="5"/>
        <v>0</v>
      </c>
      <c r="AE50" s="17">
        <f t="shared" ref="AE50" si="6">SUM(AC50+AD50)</f>
        <v>0</v>
      </c>
      <c r="AF50" s="17">
        <f t="shared" si="3"/>
        <v>0</v>
      </c>
      <c r="AG50" s="19" t="str">
        <f t="shared" si="4"/>
        <v>-</v>
      </c>
    </row>
    <row r="51" spans="2:33" x14ac:dyDescent="0.25">
      <c r="B51" s="237" t="s">
        <v>80</v>
      </c>
      <c r="C51" s="49"/>
      <c r="D51" s="137"/>
      <c r="E51" s="137"/>
      <c r="F51" s="138"/>
      <c r="G51" s="144"/>
      <c r="H51" s="148" t="s">
        <v>50</v>
      </c>
      <c r="I51" s="149">
        <v>1</v>
      </c>
      <c r="J51" s="149">
        <v>0</v>
      </c>
      <c r="K51" s="138">
        <v>5.12</v>
      </c>
      <c r="L51" s="139"/>
      <c r="M51" s="243"/>
      <c r="N51" s="149"/>
      <c r="O51" s="149"/>
      <c r="P51" s="138"/>
      <c r="Q51" s="251"/>
      <c r="R51" s="49" t="s">
        <v>50</v>
      </c>
      <c r="S51" s="137">
        <v>0</v>
      </c>
      <c r="T51" s="137">
        <v>3</v>
      </c>
      <c r="U51" s="138">
        <v>5.92</v>
      </c>
      <c r="V51" s="270" t="s">
        <v>76</v>
      </c>
      <c r="W51" s="243"/>
      <c r="X51" s="149"/>
      <c r="Y51" s="149"/>
      <c r="Z51" s="138"/>
      <c r="AA51" s="139"/>
      <c r="AB51" s="15">
        <f t="shared" ref="AB51:AB52" si="7">COUNTIF(C51:Z51,"P")</f>
        <v>2</v>
      </c>
      <c r="AC51" s="17">
        <f t="shared" ref="AC51:AC52" si="8">SUM(D51,I51,N51,S51,X51)</f>
        <v>1</v>
      </c>
      <c r="AD51" s="17">
        <f t="shared" ref="AD51:AD52" si="9">SUM(E51,J51,O51,T51,Y51)</f>
        <v>3</v>
      </c>
      <c r="AE51" s="17">
        <f t="shared" ref="AE51:AE52" si="10">SUM(AC51+AD51)</f>
        <v>4</v>
      </c>
      <c r="AF51" s="17">
        <f t="shared" ref="AF51:AF52" si="11">COUNTIF(G51:AA51,"F")</f>
        <v>1</v>
      </c>
      <c r="AG51" s="19">
        <f t="shared" ref="AG51:AG52" si="12">IFERROR(AVERAGE(F51,K51,P51,U51,Z51),"-")</f>
        <v>5.52</v>
      </c>
    </row>
    <row r="52" spans="2:33" ht="15.75" thickBot="1" x14ac:dyDescent="0.3">
      <c r="B52" s="238" t="s">
        <v>81</v>
      </c>
      <c r="C52" s="50" t="s">
        <v>50</v>
      </c>
      <c r="D52" s="140">
        <v>0</v>
      </c>
      <c r="E52" s="140">
        <v>0</v>
      </c>
      <c r="F52" s="141">
        <v>5.94</v>
      </c>
      <c r="G52" s="269" t="s">
        <v>76</v>
      </c>
      <c r="H52" s="150" t="s">
        <v>50</v>
      </c>
      <c r="I52" s="151">
        <v>0</v>
      </c>
      <c r="J52" s="151">
        <v>1</v>
      </c>
      <c r="K52" s="141">
        <v>4.76</v>
      </c>
      <c r="L52" s="142"/>
      <c r="M52" s="244"/>
      <c r="N52" s="151"/>
      <c r="O52" s="151"/>
      <c r="P52" s="141"/>
      <c r="Q52" s="254"/>
      <c r="R52" s="50"/>
      <c r="S52" s="140"/>
      <c r="T52" s="140"/>
      <c r="U52" s="141"/>
      <c r="V52" s="142"/>
      <c r="W52" s="244"/>
      <c r="X52" s="151"/>
      <c r="Y52" s="151"/>
      <c r="Z52" s="141"/>
      <c r="AA52" s="142"/>
      <c r="AB52" s="16">
        <f t="shared" si="7"/>
        <v>2</v>
      </c>
      <c r="AC52" s="18">
        <f t="shared" si="8"/>
        <v>0</v>
      </c>
      <c r="AD52" s="18">
        <f t="shared" si="9"/>
        <v>1</v>
      </c>
      <c r="AE52" s="18">
        <f t="shared" si="10"/>
        <v>1</v>
      </c>
      <c r="AF52" s="18">
        <f t="shared" si="11"/>
        <v>1</v>
      </c>
      <c r="AG52" s="25">
        <f t="shared" si="12"/>
        <v>5.35</v>
      </c>
    </row>
    <row r="53" spans="2:33" x14ac:dyDescent="0.25">
      <c r="B53" s="93"/>
      <c r="C53" s="166"/>
      <c r="D53" s="166"/>
      <c r="E53" s="166"/>
      <c r="F53" s="167"/>
      <c r="G53" s="167"/>
      <c r="H53" s="167"/>
      <c r="I53" s="168"/>
      <c r="J53" s="168"/>
      <c r="K53" s="167"/>
      <c r="L53" s="167"/>
      <c r="M53" s="167"/>
      <c r="N53" s="168"/>
      <c r="O53" s="168"/>
      <c r="P53" s="167"/>
      <c r="Q53" s="167"/>
      <c r="R53" s="166"/>
      <c r="S53" s="166"/>
      <c r="T53" s="166"/>
      <c r="U53" s="167"/>
      <c r="V53" s="167"/>
      <c r="W53" s="167"/>
      <c r="X53" s="168"/>
      <c r="Y53" s="168"/>
      <c r="Z53" s="167"/>
      <c r="AA53" s="167"/>
    </row>
    <row r="54" spans="2:33" x14ac:dyDescent="0.25">
      <c r="B54" s="93"/>
      <c r="C54" s="166"/>
      <c r="D54" s="166"/>
      <c r="E54" s="166"/>
      <c r="F54" s="167"/>
      <c r="G54" s="167"/>
      <c r="H54" s="167"/>
      <c r="I54" s="168"/>
      <c r="J54" s="168"/>
      <c r="K54" s="167"/>
      <c r="L54" s="167"/>
      <c r="M54" s="167"/>
      <c r="N54" s="168"/>
      <c r="O54" s="168"/>
      <c r="P54" s="167"/>
      <c r="Q54" s="167"/>
      <c r="R54" s="166"/>
      <c r="S54" s="166"/>
      <c r="T54" s="166"/>
      <c r="U54" s="167"/>
      <c r="V54" s="167"/>
      <c r="W54" s="167"/>
      <c r="X54" s="168"/>
      <c r="Y54" s="168"/>
      <c r="Z54" s="167"/>
      <c r="AA54" s="167"/>
    </row>
    <row r="55" spans="2:33" x14ac:dyDescent="0.25">
      <c r="B55" s="93"/>
      <c r="C55" s="166"/>
      <c r="D55" s="166"/>
      <c r="E55" s="166"/>
      <c r="F55" s="167"/>
      <c r="G55" s="167"/>
      <c r="H55" s="167"/>
      <c r="I55" s="168"/>
      <c r="J55" s="168"/>
      <c r="K55" s="167"/>
      <c r="L55" s="167"/>
      <c r="M55" s="167"/>
      <c r="N55" s="168"/>
      <c r="O55" s="168"/>
      <c r="P55" s="167"/>
      <c r="Q55" s="167"/>
      <c r="R55" s="166"/>
      <c r="S55" s="166"/>
      <c r="T55" s="166"/>
      <c r="U55" s="167"/>
      <c r="V55" s="167"/>
      <c r="W55" s="167"/>
      <c r="X55" s="168"/>
      <c r="Y55" s="168"/>
      <c r="Z55" s="167"/>
      <c r="AA55" s="167"/>
    </row>
    <row r="56" spans="2:33" x14ac:dyDescent="0.25">
      <c r="B56" s="93"/>
      <c r="C56" s="166"/>
      <c r="D56" s="166"/>
      <c r="E56" s="166"/>
      <c r="F56" s="167"/>
      <c r="G56" s="167"/>
      <c r="H56" s="167"/>
      <c r="I56" s="168"/>
      <c r="J56" s="168"/>
      <c r="K56" s="167"/>
      <c r="L56" s="167"/>
      <c r="M56" s="167"/>
      <c r="N56" s="168"/>
      <c r="O56" s="168"/>
      <c r="P56" s="167"/>
      <c r="Q56" s="167"/>
      <c r="R56" s="166"/>
      <c r="S56" s="166"/>
      <c r="T56" s="166"/>
      <c r="U56" s="167"/>
      <c r="V56" s="167"/>
      <c r="W56" s="167"/>
      <c r="X56" s="168"/>
      <c r="Y56" s="168"/>
      <c r="Z56" s="167"/>
      <c r="AA56" s="167"/>
    </row>
    <row r="57" spans="2:33" x14ac:dyDescent="0.25">
      <c r="B57" s="93"/>
      <c r="C57" s="166"/>
      <c r="D57" s="166"/>
      <c r="E57" s="166"/>
      <c r="F57" s="167"/>
      <c r="G57" s="167"/>
      <c r="H57" s="167"/>
      <c r="I57" s="168"/>
      <c r="J57" s="168"/>
      <c r="K57" s="167"/>
      <c r="L57" s="167"/>
      <c r="M57" s="167"/>
      <c r="N57" s="168"/>
      <c r="O57" s="168"/>
      <c r="P57" s="167"/>
      <c r="Q57" s="167"/>
      <c r="R57" s="166"/>
      <c r="S57" s="166"/>
      <c r="T57" s="166"/>
      <c r="U57" s="167"/>
      <c r="V57" s="167"/>
      <c r="W57" s="167"/>
      <c r="X57" s="168"/>
      <c r="Y57" s="168"/>
      <c r="Z57" s="167"/>
      <c r="AA57" s="167"/>
    </row>
  </sheetData>
  <sortState xmlns:xlrd2="http://schemas.microsoft.com/office/spreadsheetml/2017/richdata2" ref="B5:AA57">
    <sortCondition ref="B5:B57"/>
  </sortState>
  <mergeCells count="13">
    <mergeCell ref="B1:AG2"/>
    <mergeCell ref="B3:B4"/>
    <mergeCell ref="C3:G3"/>
    <mergeCell ref="H3:L3"/>
    <mergeCell ref="M3:Q3"/>
    <mergeCell ref="R3:V3"/>
    <mergeCell ref="W3:AA3"/>
    <mergeCell ref="AB3:AB4"/>
    <mergeCell ref="AC3:AC4"/>
    <mergeCell ref="AD3:AD4"/>
    <mergeCell ref="AE3:AE4"/>
    <mergeCell ref="AF3:AF4"/>
    <mergeCell ref="AG3:AG4"/>
  </mergeCells>
  <conditionalFormatting sqref="AB5:AB5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{6F794B35-56AC-409D-B01B-07DDD3958ED8}</x14:id>
        </ext>
      </extLst>
    </cfRule>
  </conditionalFormatting>
  <conditionalFormatting sqref="AC3:AC1048576">
    <cfRule type="top10" dxfId="46" priority="9" rank="1"/>
    <cfRule type="top10" dxfId="45" priority="10" rank="5"/>
  </conditionalFormatting>
  <conditionalFormatting sqref="AD1:AD1048576">
    <cfRule type="top10" dxfId="44" priority="3" rank="1"/>
    <cfRule type="top10" dxfId="43" priority="4" rank="5"/>
  </conditionalFormatting>
  <conditionalFormatting sqref="AE1:AF3 AE4 AE5:AF1048576">
    <cfRule type="top10" dxfId="42" priority="5" rank="1"/>
    <cfRule type="top10" dxfId="41" priority="6" rank="5"/>
  </conditionalFormatting>
  <conditionalFormatting sqref="AF5:AF52">
    <cfRule type="top10" dxfId="40" priority="1" rank="1"/>
    <cfRule type="top10" dxfId="39" priority="2" rank="3"/>
  </conditionalFormatting>
  <conditionalFormatting sqref="AG3:AG1048576">
    <cfRule type="top10" dxfId="38" priority="7" rank="1"/>
    <cfRule type="top10" dxfId="37" priority="8" rank="5"/>
  </conditionalFormatting>
  <pageMargins left="0.511811024" right="0.511811024" top="0.78740157499999996" bottom="0.78740157499999996" header="0.31496062000000002" footer="0.31496062000000002"/>
  <pageSetup paperSize="9" scale="40" orientation="landscape" horizontalDpi="4294967292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794B35-56AC-409D-B01B-07DDD3958ED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AB5:AB52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E123B-2818-4372-8010-49A36E2CE8C3}">
  <sheetPr>
    <pageSetUpPr fitToPage="1"/>
  </sheetPr>
  <dimension ref="A1:AO57"/>
  <sheetViews>
    <sheetView showGridLines="0" topLeftCell="J1" zoomScale="80" zoomScaleNormal="80" workbookViewId="0">
      <pane ySplit="4" topLeftCell="A5" activePane="bottomLeft" state="frozen"/>
      <selection activeCell="B47" sqref="B47"/>
      <selection pane="bottomLeft" activeCell="B47" sqref="B47"/>
    </sheetView>
  </sheetViews>
  <sheetFormatPr defaultRowHeight="15" x14ac:dyDescent="0.25"/>
  <cols>
    <col min="1" max="1" width="7.140625" customWidth="1"/>
    <col min="2" max="2" width="28.42578125" style="6" customWidth="1"/>
    <col min="3" max="3" width="9.140625" customWidth="1"/>
    <col min="6" max="7" width="9.140625" style="5"/>
    <col min="11" max="12" width="9.140625" style="5"/>
    <col min="16" max="17" width="9.140625" style="5"/>
    <col min="21" max="22" width="9.140625" style="5"/>
    <col min="23" max="23" width="9.140625" style="54"/>
    <col min="24" max="25" width="9.140625" style="120"/>
    <col min="26" max="27" width="9.140625" style="54"/>
    <col min="28" max="28" width="14.7109375" customWidth="1"/>
    <col min="29" max="29" width="14.5703125" style="2" customWidth="1"/>
    <col min="30" max="30" width="13.85546875" style="2" customWidth="1"/>
    <col min="31" max="32" width="6.140625" style="2" customWidth="1"/>
    <col min="33" max="33" width="13.5703125" style="5" customWidth="1"/>
  </cols>
  <sheetData>
    <row r="1" spans="1:33" ht="15" customHeight="1" x14ac:dyDescent="0.25">
      <c r="B1" s="328" t="s">
        <v>42</v>
      </c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329"/>
      <c r="R1" s="329"/>
      <c r="S1" s="329"/>
      <c r="T1" s="329"/>
      <c r="U1" s="329"/>
      <c r="V1" s="329"/>
      <c r="W1" s="329"/>
      <c r="X1" s="329"/>
      <c r="Y1" s="329"/>
      <c r="Z1" s="329"/>
      <c r="AA1" s="329"/>
      <c r="AB1" s="329"/>
      <c r="AC1" s="329"/>
      <c r="AD1" s="329"/>
      <c r="AE1" s="329"/>
      <c r="AF1" s="329"/>
      <c r="AG1" s="329"/>
    </row>
    <row r="2" spans="1:33" ht="15" customHeight="1" thickBot="1" x14ac:dyDescent="0.3">
      <c r="A2" s="1"/>
      <c r="B2" s="331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  <c r="AA2" s="332"/>
      <c r="AB2" s="332"/>
      <c r="AC2" s="332"/>
      <c r="AD2" s="332"/>
      <c r="AE2" s="332"/>
      <c r="AF2" s="332"/>
      <c r="AG2" s="332"/>
    </row>
    <row r="3" spans="1:33" x14ac:dyDescent="0.25">
      <c r="B3" s="310" t="s">
        <v>0</v>
      </c>
      <c r="C3" s="334">
        <v>45965</v>
      </c>
      <c r="D3" s="335"/>
      <c r="E3" s="335"/>
      <c r="F3" s="335"/>
      <c r="G3" s="336"/>
      <c r="H3" s="337">
        <f>C3+7</f>
        <v>45972</v>
      </c>
      <c r="I3" s="338"/>
      <c r="J3" s="338"/>
      <c r="K3" s="338"/>
      <c r="L3" s="339"/>
      <c r="M3" s="340">
        <f>H3+7</f>
        <v>45979</v>
      </c>
      <c r="N3" s="341"/>
      <c r="O3" s="341"/>
      <c r="P3" s="341"/>
      <c r="Q3" s="342"/>
      <c r="R3" s="343">
        <f>M3+7</f>
        <v>45986</v>
      </c>
      <c r="S3" s="344"/>
      <c r="T3" s="344"/>
      <c r="U3" s="344"/>
      <c r="V3" s="345"/>
      <c r="W3" s="351"/>
      <c r="X3" s="352"/>
      <c r="Y3" s="352"/>
      <c r="Z3" s="352"/>
      <c r="AA3" s="353"/>
      <c r="AB3" s="310" t="s">
        <v>45</v>
      </c>
      <c r="AC3" s="349" t="s">
        <v>46</v>
      </c>
      <c r="AD3" s="349" t="s">
        <v>47</v>
      </c>
      <c r="AE3" s="349" t="s">
        <v>72</v>
      </c>
      <c r="AF3" s="349" t="s">
        <v>75</v>
      </c>
      <c r="AG3" s="277" t="s">
        <v>48</v>
      </c>
    </row>
    <row r="4" spans="1:33" ht="15.75" thickBot="1" x14ac:dyDescent="0.3">
      <c r="B4" s="311"/>
      <c r="C4" s="191" t="s">
        <v>49</v>
      </c>
      <c r="D4" s="192" t="s">
        <v>43</v>
      </c>
      <c r="E4" s="192" t="s">
        <v>2</v>
      </c>
      <c r="F4" s="193" t="s">
        <v>40</v>
      </c>
      <c r="G4" s="239" t="s">
        <v>75</v>
      </c>
      <c r="H4" s="195" t="s">
        <v>49</v>
      </c>
      <c r="I4" s="196" t="s">
        <v>43</v>
      </c>
      <c r="J4" s="196" t="s">
        <v>2</v>
      </c>
      <c r="K4" s="197" t="s">
        <v>40</v>
      </c>
      <c r="L4" s="198" t="s">
        <v>75</v>
      </c>
      <c r="M4" s="214" t="s">
        <v>49</v>
      </c>
      <c r="N4" s="199" t="s">
        <v>44</v>
      </c>
      <c r="O4" s="199" t="s">
        <v>2</v>
      </c>
      <c r="P4" s="200" t="s">
        <v>40</v>
      </c>
      <c r="Q4" s="215" t="s">
        <v>75</v>
      </c>
      <c r="R4" s="202" t="s">
        <v>49</v>
      </c>
      <c r="S4" s="203" t="s">
        <v>43</v>
      </c>
      <c r="T4" s="203" t="s">
        <v>2</v>
      </c>
      <c r="U4" s="204" t="s">
        <v>40</v>
      </c>
      <c r="V4" s="205" t="s">
        <v>75</v>
      </c>
      <c r="W4" s="258" t="s">
        <v>49</v>
      </c>
      <c r="X4" s="206" t="s">
        <v>43</v>
      </c>
      <c r="Y4" s="206" t="s">
        <v>2</v>
      </c>
      <c r="Z4" s="207" t="s">
        <v>40</v>
      </c>
      <c r="AA4" s="208" t="s">
        <v>75</v>
      </c>
      <c r="AB4" s="311"/>
      <c r="AC4" s="350"/>
      <c r="AD4" s="350"/>
      <c r="AE4" s="350"/>
      <c r="AF4" s="350"/>
      <c r="AG4" s="278"/>
    </row>
    <row r="5" spans="1:33" x14ac:dyDescent="0.25">
      <c r="B5" s="236" t="s">
        <v>3</v>
      </c>
      <c r="C5" s="217"/>
      <c r="D5" s="218"/>
      <c r="E5" s="218"/>
      <c r="F5" s="219"/>
      <c r="G5" s="232"/>
      <c r="H5" s="221"/>
      <c r="I5" s="222"/>
      <c r="J5" s="222"/>
      <c r="K5" s="219"/>
      <c r="L5" s="220"/>
      <c r="M5" s="242"/>
      <c r="N5" s="222"/>
      <c r="O5" s="222"/>
      <c r="P5" s="219"/>
      <c r="Q5" s="232"/>
      <c r="R5" s="217"/>
      <c r="S5" s="218"/>
      <c r="T5" s="218"/>
      <c r="U5" s="219"/>
      <c r="V5" s="220"/>
      <c r="W5" s="242"/>
      <c r="X5" s="222"/>
      <c r="Y5" s="222"/>
      <c r="Z5" s="219"/>
      <c r="AA5" s="220"/>
      <c r="AB5" s="26">
        <f>COUNTIF(C5:Z5,"P")</f>
        <v>0</v>
      </c>
      <c r="AC5" s="27">
        <f t="shared" ref="AC5:AD46" si="0">SUM(D5,I5,N5,S5,X5)</f>
        <v>0</v>
      </c>
      <c r="AD5" s="27">
        <f t="shared" si="0"/>
        <v>0</v>
      </c>
      <c r="AE5" s="27">
        <f>SUM(AC5+AD5)</f>
        <v>0</v>
      </c>
      <c r="AF5" s="27">
        <f>COUNTIF(G5:AA5,"F")</f>
        <v>0</v>
      </c>
      <c r="AG5" s="28" t="str">
        <f>IFERROR(AVERAGE(F5,K5,P5,U5,Z5),"-")</f>
        <v>-</v>
      </c>
    </row>
    <row r="6" spans="1:33" x14ac:dyDescent="0.25">
      <c r="B6" s="236" t="s">
        <v>4</v>
      </c>
      <c r="C6" s="49" t="s">
        <v>50</v>
      </c>
      <c r="D6" s="137">
        <v>1</v>
      </c>
      <c r="E6" s="137">
        <v>1</v>
      </c>
      <c r="F6" s="138">
        <v>4.42</v>
      </c>
      <c r="G6" s="252" t="s">
        <v>76</v>
      </c>
      <c r="H6" s="148"/>
      <c r="I6" s="149"/>
      <c r="J6" s="149"/>
      <c r="K6" s="138"/>
      <c r="L6" s="139"/>
      <c r="M6" s="243"/>
      <c r="N6" s="149"/>
      <c r="O6" s="149"/>
      <c r="P6" s="138"/>
      <c r="Q6" s="144"/>
      <c r="R6" s="49"/>
      <c r="S6" s="137"/>
      <c r="T6" s="137"/>
      <c r="U6" s="138"/>
      <c r="V6" s="139"/>
      <c r="W6" s="243"/>
      <c r="X6" s="149"/>
      <c r="Y6" s="149"/>
      <c r="Z6" s="138"/>
      <c r="AA6" s="155"/>
      <c r="AB6" s="15">
        <f t="shared" ref="AB6:AB50" si="1">COUNTIF(C6:Z6,"P")</f>
        <v>1</v>
      </c>
      <c r="AC6" s="17">
        <f t="shared" si="0"/>
        <v>1</v>
      </c>
      <c r="AD6" s="17">
        <f t="shared" si="0"/>
        <v>1</v>
      </c>
      <c r="AE6" s="17">
        <f t="shared" ref="AE6:AE49" si="2">SUM(AC6+AD6)</f>
        <v>2</v>
      </c>
      <c r="AF6" s="17">
        <f t="shared" ref="AF6:AF50" si="3">COUNTIF(G6:AA6,"F")</f>
        <v>1</v>
      </c>
      <c r="AG6" s="19">
        <f t="shared" ref="AG6:AG50" si="4">IFERROR(AVERAGE(F6,K6,P6,U6,Z6),"-")</f>
        <v>4.42</v>
      </c>
    </row>
    <row r="7" spans="1:33" x14ac:dyDescent="0.25">
      <c r="B7" s="236" t="s">
        <v>5</v>
      </c>
      <c r="C7" s="49"/>
      <c r="D7" s="137"/>
      <c r="E7" s="137"/>
      <c r="F7" s="138"/>
      <c r="G7" s="144"/>
      <c r="H7" s="148"/>
      <c r="I7" s="149"/>
      <c r="J7" s="149"/>
      <c r="K7" s="138"/>
      <c r="L7" s="139"/>
      <c r="M7" s="243"/>
      <c r="N7" s="149"/>
      <c r="O7" s="149"/>
      <c r="P7" s="138"/>
      <c r="Q7" s="144"/>
      <c r="R7" s="49"/>
      <c r="S7" s="137"/>
      <c r="T7" s="137"/>
      <c r="U7" s="138"/>
      <c r="V7" s="139"/>
      <c r="W7" s="243"/>
      <c r="X7" s="149"/>
      <c r="Y7" s="149"/>
      <c r="Z7" s="138"/>
      <c r="AA7" s="139"/>
      <c r="AB7" s="15">
        <f t="shared" si="1"/>
        <v>0</v>
      </c>
      <c r="AC7" s="17">
        <f t="shared" si="0"/>
        <v>0</v>
      </c>
      <c r="AD7" s="17">
        <f t="shared" si="0"/>
        <v>0</v>
      </c>
      <c r="AE7" s="17">
        <f t="shared" si="2"/>
        <v>0</v>
      </c>
      <c r="AF7" s="17">
        <f t="shared" si="3"/>
        <v>0</v>
      </c>
      <c r="AG7" s="19" t="str">
        <f t="shared" si="4"/>
        <v>-</v>
      </c>
    </row>
    <row r="8" spans="1:33" x14ac:dyDescent="0.25">
      <c r="B8" s="236" t="s">
        <v>74</v>
      </c>
      <c r="C8" s="154"/>
      <c r="D8" s="137"/>
      <c r="E8" s="137"/>
      <c r="F8" s="138"/>
      <c r="G8" s="144"/>
      <c r="H8" s="148"/>
      <c r="I8" s="149"/>
      <c r="J8" s="149"/>
      <c r="K8" s="138"/>
      <c r="L8" s="139"/>
      <c r="M8" s="243"/>
      <c r="N8" s="149"/>
      <c r="O8" s="149"/>
      <c r="P8" s="138"/>
      <c r="Q8" s="144"/>
      <c r="R8" s="154"/>
      <c r="S8" s="137"/>
      <c r="T8" s="137"/>
      <c r="U8" s="138"/>
      <c r="V8" s="139"/>
      <c r="W8" s="243"/>
      <c r="X8" s="149"/>
      <c r="Y8" s="149"/>
      <c r="Z8" s="138"/>
      <c r="AA8" s="139"/>
      <c r="AB8" s="15">
        <f t="shared" si="1"/>
        <v>0</v>
      </c>
      <c r="AC8" s="17">
        <f t="shared" si="0"/>
        <v>0</v>
      </c>
      <c r="AD8" s="17">
        <f t="shared" si="0"/>
        <v>0</v>
      </c>
      <c r="AE8" s="17">
        <f t="shared" si="2"/>
        <v>0</v>
      </c>
      <c r="AF8" s="17">
        <f t="shared" si="3"/>
        <v>0</v>
      </c>
      <c r="AG8" s="19" t="str">
        <f t="shared" si="4"/>
        <v>-</v>
      </c>
    </row>
    <row r="9" spans="1:33" x14ac:dyDescent="0.25">
      <c r="B9" s="236" t="s">
        <v>6</v>
      </c>
      <c r="C9" s="154"/>
      <c r="D9" s="137"/>
      <c r="E9" s="137"/>
      <c r="F9" s="138"/>
      <c r="G9" s="144"/>
      <c r="H9" s="148"/>
      <c r="I9" s="149"/>
      <c r="J9" s="149"/>
      <c r="K9" s="138"/>
      <c r="L9" s="139"/>
      <c r="M9" s="243"/>
      <c r="N9" s="149"/>
      <c r="O9" s="149"/>
      <c r="P9" s="138"/>
      <c r="Q9" s="144"/>
      <c r="R9" s="154"/>
      <c r="S9" s="137"/>
      <c r="T9" s="137"/>
      <c r="U9" s="138"/>
      <c r="V9" s="139"/>
      <c r="W9" s="243"/>
      <c r="X9" s="149"/>
      <c r="Y9" s="149"/>
      <c r="Z9" s="138"/>
      <c r="AA9" s="139"/>
      <c r="AB9" s="15">
        <f t="shared" si="1"/>
        <v>0</v>
      </c>
      <c r="AC9" s="17">
        <f t="shared" si="0"/>
        <v>0</v>
      </c>
      <c r="AD9" s="17">
        <f t="shared" si="0"/>
        <v>0</v>
      </c>
      <c r="AE9" s="17">
        <f t="shared" si="2"/>
        <v>0</v>
      </c>
      <c r="AF9" s="17">
        <f t="shared" si="3"/>
        <v>0</v>
      </c>
      <c r="AG9" s="19" t="str">
        <f t="shared" si="4"/>
        <v>-</v>
      </c>
    </row>
    <row r="10" spans="1:33" x14ac:dyDescent="0.25">
      <c r="B10" s="236" t="s">
        <v>7</v>
      </c>
      <c r="C10" s="49"/>
      <c r="D10" s="137"/>
      <c r="E10" s="137"/>
      <c r="F10" s="138"/>
      <c r="G10" s="144"/>
      <c r="H10" s="148"/>
      <c r="I10" s="149"/>
      <c r="J10" s="149"/>
      <c r="K10" s="138"/>
      <c r="L10" s="139"/>
      <c r="M10" s="243"/>
      <c r="N10" s="149"/>
      <c r="O10" s="149"/>
      <c r="P10" s="138"/>
      <c r="Q10" s="255"/>
      <c r="R10" s="49"/>
      <c r="S10" s="137"/>
      <c r="T10" s="137"/>
      <c r="U10" s="138"/>
      <c r="V10" s="139"/>
      <c r="W10" s="243"/>
      <c r="X10" s="149"/>
      <c r="Y10" s="149"/>
      <c r="Z10" s="138"/>
      <c r="AA10" s="139"/>
      <c r="AB10" s="15">
        <f t="shared" si="1"/>
        <v>0</v>
      </c>
      <c r="AC10" s="17">
        <f t="shared" si="0"/>
        <v>0</v>
      </c>
      <c r="AD10" s="17">
        <f t="shared" si="0"/>
        <v>0</v>
      </c>
      <c r="AE10" s="17">
        <f t="shared" si="2"/>
        <v>0</v>
      </c>
      <c r="AF10" s="17">
        <f t="shared" si="3"/>
        <v>0</v>
      </c>
      <c r="AG10" s="19" t="str">
        <f t="shared" si="4"/>
        <v>-</v>
      </c>
    </row>
    <row r="11" spans="1:33" x14ac:dyDescent="0.25">
      <c r="B11" s="236" t="s">
        <v>8</v>
      </c>
      <c r="C11" s="49"/>
      <c r="D11" s="137"/>
      <c r="E11" s="137"/>
      <c r="F11" s="138"/>
      <c r="G11" s="144"/>
      <c r="H11" s="148"/>
      <c r="I11" s="149"/>
      <c r="J11" s="149"/>
      <c r="K11" s="138"/>
      <c r="L11" s="139"/>
      <c r="M11" s="243"/>
      <c r="N11" s="149"/>
      <c r="O11" s="149"/>
      <c r="P11" s="138"/>
      <c r="Q11" s="144"/>
      <c r="R11" s="49"/>
      <c r="S11" s="137"/>
      <c r="T11" s="137"/>
      <c r="U11" s="138"/>
      <c r="V11" s="139"/>
      <c r="W11" s="243"/>
      <c r="X11" s="149"/>
      <c r="Y11" s="149"/>
      <c r="Z11" s="138"/>
      <c r="AA11" s="139"/>
      <c r="AB11" s="15">
        <f t="shared" si="1"/>
        <v>0</v>
      </c>
      <c r="AC11" s="17">
        <f t="shared" si="0"/>
        <v>0</v>
      </c>
      <c r="AD11" s="17">
        <f t="shared" si="0"/>
        <v>0</v>
      </c>
      <c r="AE11" s="17">
        <f t="shared" si="2"/>
        <v>0</v>
      </c>
      <c r="AF11" s="17">
        <f t="shared" si="3"/>
        <v>0</v>
      </c>
      <c r="AG11" s="19" t="str">
        <f t="shared" si="4"/>
        <v>-</v>
      </c>
    </row>
    <row r="12" spans="1:33" x14ac:dyDescent="0.25">
      <c r="B12" s="236" t="s">
        <v>9</v>
      </c>
      <c r="C12" s="49"/>
      <c r="D12" s="137"/>
      <c r="E12" s="137"/>
      <c r="F12" s="138"/>
      <c r="G12" s="144"/>
      <c r="H12" s="148"/>
      <c r="I12" s="149"/>
      <c r="J12" s="149"/>
      <c r="K12" s="138"/>
      <c r="L12" s="139"/>
      <c r="M12" s="243"/>
      <c r="N12" s="149"/>
      <c r="O12" s="149"/>
      <c r="P12" s="138"/>
      <c r="Q12" s="255"/>
      <c r="R12" s="49"/>
      <c r="S12" s="137"/>
      <c r="T12" s="137"/>
      <c r="U12" s="138"/>
      <c r="V12" s="139"/>
      <c r="W12" s="243"/>
      <c r="X12" s="149"/>
      <c r="Y12" s="149"/>
      <c r="Z12" s="138"/>
      <c r="AA12" s="139"/>
      <c r="AB12" s="15">
        <f t="shared" si="1"/>
        <v>0</v>
      </c>
      <c r="AC12" s="17">
        <f t="shared" si="0"/>
        <v>0</v>
      </c>
      <c r="AD12" s="17">
        <f t="shared" si="0"/>
        <v>0</v>
      </c>
      <c r="AE12" s="17">
        <f t="shared" si="2"/>
        <v>0</v>
      </c>
      <c r="AF12" s="17">
        <f t="shared" si="3"/>
        <v>0</v>
      </c>
      <c r="AG12" s="19" t="str">
        <f t="shared" si="4"/>
        <v>-</v>
      </c>
    </row>
    <row r="13" spans="1:33" x14ac:dyDescent="0.25">
      <c r="B13" s="236" t="s">
        <v>10</v>
      </c>
      <c r="C13" s="49"/>
      <c r="D13" s="137"/>
      <c r="E13" s="137"/>
      <c r="F13" s="138"/>
      <c r="G13" s="144"/>
      <c r="H13" s="148"/>
      <c r="I13" s="149"/>
      <c r="J13" s="149"/>
      <c r="K13" s="138"/>
      <c r="L13" s="139"/>
      <c r="M13" s="243"/>
      <c r="N13" s="149"/>
      <c r="O13" s="149"/>
      <c r="P13" s="138"/>
      <c r="Q13" s="144"/>
      <c r="R13" s="49"/>
      <c r="S13" s="137"/>
      <c r="T13" s="137"/>
      <c r="U13" s="138"/>
      <c r="V13" s="139"/>
      <c r="W13" s="243"/>
      <c r="X13" s="149"/>
      <c r="Y13" s="149"/>
      <c r="Z13" s="138"/>
      <c r="AA13" s="139"/>
      <c r="AB13" s="15">
        <f t="shared" si="1"/>
        <v>0</v>
      </c>
      <c r="AC13" s="17">
        <f t="shared" si="0"/>
        <v>0</v>
      </c>
      <c r="AD13" s="17">
        <f t="shared" si="0"/>
        <v>0</v>
      </c>
      <c r="AE13" s="17">
        <f t="shared" si="2"/>
        <v>0</v>
      </c>
      <c r="AF13" s="17">
        <f t="shared" si="3"/>
        <v>0</v>
      </c>
      <c r="AG13" s="19" t="str">
        <f t="shared" si="4"/>
        <v>-</v>
      </c>
    </row>
    <row r="14" spans="1:33" x14ac:dyDescent="0.25">
      <c r="B14" s="236" t="s">
        <v>11</v>
      </c>
      <c r="C14" s="49"/>
      <c r="D14" s="137"/>
      <c r="E14" s="137"/>
      <c r="F14" s="138"/>
      <c r="G14" s="144"/>
      <c r="H14" s="148"/>
      <c r="I14" s="149"/>
      <c r="J14" s="149"/>
      <c r="K14" s="138"/>
      <c r="L14" s="139"/>
      <c r="M14" s="243"/>
      <c r="N14" s="149"/>
      <c r="O14" s="149"/>
      <c r="P14" s="138"/>
      <c r="Q14" s="144"/>
      <c r="R14" s="49"/>
      <c r="S14" s="137"/>
      <c r="T14" s="137"/>
      <c r="U14" s="138"/>
      <c r="V14" s="139"/>
      <c r="W14" s="243"/>
      <c r="X14" s="149"/>
      <c r="Y14" s="149"/>
      <c r="Z14" s="138"/>
      <c r="AA14" s="139"/>
      <c r="AB14" s="15">
        <f t="shared" si="1"/>
        <v>0</v>
      </c>
      <c r="AC14" s="17">
        <f t="shared" si="0"/>
        <v>0</v>
      </c>
      <c r="AD14" s="17">
        <f t="shared" si="0"/>
        <v>0</v>
      </c>
      <c r="AE14" s="17">
        <f t="shared" si="2"/>
        <v>0</v>
      </c>
      <c r="AF14" s="17">
        <f t="shared" si="3"/>
        <v>0</v>
      </c>
      <c r="AG14" s="19" t="str">
        <f t="shared" si="4"/>
        <v>-</v>
      </c>
    </row>
    <row r="15" spans="1:33" x14ac:dyDescent="0.25">
      <c r="B15" s="237" t="s">
        <v>83</v>
      </c>
      <c r="C15" s="9"/>
      <c r="D15" s="159"/>
      <c r="E15" s="159"/>
      <c r="F15" s="4"/>
      <c r="G15" s="37"/>
      <c r="H15" s="9"/>
      <c r="I15" s="159"/>
      <c r="J15" s="159"/>
      <c r="K15" s="4"/>
      <c r="L15" s="10"/>
      <c r="M15" s="23"/>
      <c r="N15" s="159"/>
      <c r="O15" s="159"/>
      <c r="P15" s="4"/>
      <c r="Q15" s="37"/>
      <c r="R15" s="9"/>
      <c r="S15" s="159"/>
      <c r="T15" s="159"/>
      <c r="U15" s="4"/>
      <c r="V15" s="10"/>
      <c r="W15" s="259"/>
      <c r="X15" s="3"/>
      <c r="Y15" s="3"/>
      <c r="Z15" s="4"/>
      <c r="AA15" s="10"/>
      <c r="AB15" s="15">
        <f t="shared" si="1"/>
        <v>0</v>
      </c>
      <c r="AC15" s="17">
        <f t="shared" si="0"/>
        <v>0</v>
      </c>
      <c r="AD15" s="17">
        <f t="shared" si="0"/>
        <v>0</v>
      </c>
      <c r="AE15" s="17">
        <f t="shared" si="2"/>
        <v>0</v>
      </c>
      <c r="AF15" s="17">
        <f t="shared" si="3"/>
        <v>0</v>
      </c>
      <c r="AG15" s="19" t="str">
        <f t="shared" si="4"/>
        <v>-</v>
      </c>
    </row>
    <row r="16" spans="1:33" x14ac:dyDescent="0.25">
      <c r="B16" s="236" t="s">
        <v>12</v>
      </c>
      <c r="C16" s="49" t="s">
        <v>50</v>
      </c>
      <c r="D16" s="137">
        <v>0</v>
      </c>
      <c r="E16" s="137">
        <v>0</v>
      </c>
      <c r="F16" s="138">
        <v>6.76</v>
      </c>
      <c r="G16" s="144"/>
      <c r="H16" s="148"/>
      <c r="I16" s="149"/>
      <c r="J16" s="149"/>
      <c r="K16" s="138"/>
      <c r="L16" s="139"/>
      <c r="M16" s="243"/>
      <c r="N16" s="149"/>
      <c r="O16" s="149"/>
      <c r="P16" s="138"/>
      <c r="Q16" s="144"/>
      <c r="R16" s="49"/>
      <c r="S16" s="137"/>
      <c r="T16" s="137"/>
      <c r="U16" s="138"/>
      <c r="V16" s="139"/>
      <c r="W16" s="243"/>
      <c r="X16" s="149"/>
      <c r="Y16" s="149"/>
      <c r="Z16" s="138"/>
      <c r="AA16" s="155"/>
      <c r="AB16" s="15">
        <f t="shared" si="1"/>
        <v>1</v>
      </c>
      <c r="AC16" s="17">
        <f t="shared" si="0"/>
        <v>0</v>
      </c>
      <c r="AD16" s="17">
        <f t="shared" si="0"/>
        <v>0</v>
      </c>
      <c r="AE16" s="17">
        <f t="shared" si="2"/>
        <v>0</v>
      </c>
      <c r="AF16" s="17">
        <f t="shared" si="3"/>
        <v>0</v>
      </c>
      <c r="AG16" s="19">
        <f t="shared" si="4"/>
        <v>6.76</v>
      </c>
    </row>
    <row r="17" spans="2:33" x14ac:dyDescent="0.25">
      <c r="B17" s="236" t="s">
        <v>56</v>
      </c>
      <c r="C17" s="49"/>
      <c r="D17" s="137"/>
      <c r="E17" s="137"/>
      <c r="F17" s="138"/>
      <c r="G17" s="144"/>
      <c r="H17" s="148"/>
      <c r="I17" s="149"/>
      <c r="J17" s="149"/>
      <c r="K17" s="138"/>
      <c r="L17" s="139"/>
      <c r="M17" s="243"/>
      <c r="N17" s="149"/>
      <c r="O17" s="149"/>
      <c r="P17" s="138"/>
      <c r="Q17" s="144"/>
      <c r="R17" s="49"/>
      <c r="S17" s="137"/>
      <c r="T17" s="137"/>
      <c r="U17" s="138"/>
      <c r="V17" s="139"/>
      <c r="W17" s="243"/>
      <c r="X17" s="149"/>
      <c r="Y17" s="149"/>
      <c r="Z17" s="138"/>
      <c r="AA17" s="139"/>
      <c r="AB17" s="15">
        <f t="shared" si="1"/>
        <v>0</v>
      </c>
      <c r="AC17" s="17">
        <f t="shared" si="0"/>
        <v>0</v>
      </c>
      <c r="AD17" s="17">
        <f t="shared" si="0"/>
        <v>0</v>
      </c>
      <c r="AE17" s="17">
        <f t="shared" si="2"/>
        <v>0</v>
      </c>
      <c r="AF17" s="17">
        <f t="shared" si="3"/>
        <v>0</v>
      </c>
      <c r="AG17" s="19" t="str">
        <f t="shared" si="4"/>
        <v>-</v>
      </c>
    </row>
    <row r="18" spans="2:33" x14ac:dyDescent="0.25">
      <c r="B18" s="236" t="s">
        <v>13</v>
      </c>
      <c r="C18" s="49" t="s">
        <v>50</v>
      </c>
      <c r="D18" s="137">
        <v>0</v>
      </c>
      <c r="E18" s="137">
        <v>0</v>
      </c>
      <c r="F18" s="138">
        <v>4.34</v>
      </c>
      <c r="G18" s="144"/>
      <c r="H18" s="148"/>
      <c r="I18" s="149"/>
      <c r="J18" s="149"/>
      <c r="K18" s="138"/>
      <c r="L18" s="139"/>
      <c r="M18" s="243"/>
      <c r="N18" s="149"/>
      <c r="O18" s="149"/>
      <c r="P18" s="138"/>
      <c r="Q18" s="144"/>
      <c r="R18" s="49"/>
      <c r="S18" s="137"/>
      <c r="T18" s="137"/>
      <c r="U18" s="138"/>
      <c r="V18" s="139"/>
      <c r="W18" s="243"/>
      <c r="X18" s="149"/>
      <c r="Y18" s="149"/>
      <c r="Z18" s="138"/>
      <c r="AA18" s="139"/>
      <c r="AB18" s="15">
        <f t="shared" si="1"/>
        <v>1</v>
      </c>
      <c r="AC18" s="17">
        <f t="shared" si="0"/>
        <v>0</v>
      </c>
      <c r="AD18" s="17">
        <f t="shared" si="0"/>
        <v>0</v>
      </c>
      <c r="AE18" s="17">
        <f t="shared" si="2"/>
        <v>0</v>
      </c>
      <c r="AF18" s="17">
        <f t="shared" si="3"/>
        <v>0</v>
      </c>
      <c r="AG18" s="19">
        <f t="shared" si="4"/>
        <v>4.34</v>
      </c>
    </row>
    <row r="19" spans="2:33" x14ac:dyDescent="0.25">
      <c r="B19" s="236" t="s">
        <v>14</v>
      </c>
      <c r="C19" s="49"/>
      <c r="D19" s="137"/>
      <c r="E19" s="137"/>
      <c r="F19" s="138"/>
      <c r="G19" s="144"/>
      <c r="H19" s="148"/>
      <c r="I19" s="149"/>
      <c r="J19" s="149"/>
      <c r="K19" s="138"/>
      <c r="L19" s="139"/>
      <c r="M19" s="243"/>
      <c r="N19" s="149"/>
      <c r="O19" s="149"/>
      <c r="P19" s="138"/>
      <c r="Q19" s="144"/>
      <c r="R19" s="49"/>
      <c r="S19" s="137"/>
      <c r="T19" s="137"/>
      <c r="U19" s="138"/>
      <c r="V19" s="139"/>
      <c r="W19" s="243"/>
      <c r="X19" s="149"/>
      <c r="Y19" s="149"/>
      <c r="Z19" s="138"/>
      <c r="AA19" s="139"/>
      <c r="AB19" s="15">
        <f t="shared" si="1"/>
        <v>0</v>
      </c>
      <c r="AC19" s="17">
        <f t="shared" si="0"/>
        <v>0</v>
      </c>
      <c r="AD19" s="17">
        <f t="shared" si="0"/>
        <v>0</v>
      </c>
      <c r="AE19" s="17">
        <f t="shared" si="2"/>
        <v>0</v>
      </c>
      <c r="AF19" s="17">
        <f t="shared" si="3"/>
        <v>0</v>
      </c>
      <c r="AG19" s="19" t="str">
        <f t="shared" si="4"/>
        <v>-</v>
      </c>
    </row>
    <row r="20" spans="2:33" x14ac:dyDescent="0.25">
      <c r="B20" s="237" t="s">
        <v>86</v>
      </c>
      <c r="C20" s="9" t="s">
        <v>50</v>
      </c>
      <c r="D20" s="159">
        <v>1</v>
      </c>
      <c r="E20" s="159">
        <v>1</v>
      </c>
      <c r="F20" s="4">
        <v>6.42</v>
      </c>
      <c r="G20" s="252" t="s">
        <v>76</v>
      </c>
      <c r="H20" s="9"/>
      <c r="I20" s="159"/>
      <c r="J20" s="159"/>
      <c r="K20" s="4"/>
      <c r="L20" s="10"/>
      <c r="M20" s="23"/>
      <c r="N20" s="159"/>
      <c r="O20" s="159"/>
      <c r="P20" s="4"/>
      <c r="Q20" s="37"/>
      <c r="R20" s="9"/>
      <c r="S20" s="159"/>
      <c r="T20" s="159"/>
      <c r="U20" s="4"/>
      <c r="V20" s="10"/>
      <c r="W20" s="259"/>
      <c r="X20" s="3"/>
      <c r="Y20" s="3"/>
      <c r="Z20" s="4"/>
      <c r="AA20" s="10"/>
      <c r="AB20" s="15">
        <f t="shared" si="1"/>
        <v>1</v>
      </c>
      <c r="AC20" s="17">
        <f t="shared" si="0"/>
        <v>1</v>
      </c>
      <c r="AD20" s="17">
        <f t="shared" si="0"/>
        <v>1</v>
      </c>
      <c r="AE20" s="17">
        <f t="shared" si="2"/>
        <v>2</v>
      </c>
      <c r="AF20" s="17">
        <f t="shared" si="3"/>
        <v>1</v>
      </c>
      <c r="AG20" s="19">
        <f t="shared" si="4"/>
        <v>6.42</v>
      </c>
    </row>
    <row r="21" spans="2:33" x14ac:dyDescent="0.25">
      <c r="B21" s="236" t="s">
        <v>15</v>
      </c>
      <c r="C21" s="49" t="s">
        <v>50</v>
      </c>
      <c r="D21" s="137">
        <v>3</v>
      </c>
      <c r="E21" s="137">
        <v>5</v>
      </c>
      <c r="F21" s="138">
        <v>7.58</v>
      </c>
      <c r="G21" s="252" t="s">
        <v>76</v>
      </c>
      <c r="H21" s="148"/>
      <c r="I21" s="149"/>
      <c r="J21" s="149"/>
      <c r="K21" s="138"/>
      <c r="L21" s="139"/>
      <c r="M21" s="243"/>
      <c r="N21" s="149"/>
      <c r="O21" s="149"/>
      <c r="P21" s="138"/>
      <c r="Q21" s="144"/>
      <c r="R21" s="49"/>
      <c r="S21" s="137"/>
      <c r="T21" s="137"/>
      <c r="U21" s="138"/>
      <c r="V21" s="139"/>
      <c r="W21" s="243"/>
      <c r="X21" s="149"/>
      <c r="Y21" s="149"/>
      <c r="Z21" s="138"/>
      <c r="AA21" s="139"/>
      <c r="AB21" s="15">
        <f t="shared" si="1"/>
        <v>1</v>
      </c>
      <c r="AC21" s="17">
        <f t="shared" si="0"/>
        <v>3</v>
      </c>
      <c r="AD21" s="17">
        <f t="shared" si="0"/>
        <v>5</v>
      </c>
      <c r="AE21" s="17">
        <f t="shared" si="2"/>
        <v>8</v>
      </c>
      <c r="AF21" s="17">
        <f t="shared" si="3"/>
        <v>1</v>
      </c>
      <c r="AG21" s="19">
        <f t="shared" si="4"/>
        <v>7.58</v>
      </c>
    </row>
    <row r="22" spans="2:33" x14ac:dyDescent="0.25">
      <c r="B22" s="236" t="s">
        <v>16</v>
      </c>
      <c r="C22" s="49" t="s">
        <v>50</v>
      </c>
      <c r="D22" s="137">
        <v>0</v>
      </c>
      <c r="E22" s="137">
        <v>0</v>
      </c>
      <c r="F22" s="138">
        <v>5</v>
      </c>
      <c r="G22" s="144"/>
      <c r="H22" s="148"/>
      <c r="I22" s="149"/>
      <c r="J22" s="149"/>
      <c r="K22" s="138"/>
      <c r="L22" s="139"/>
      <c r="M22" s="243"/>
      <c r="N22" s="149"/>
      <c r="O22" s="149"/>
      <c r="P22" s="138"/>
      <c r="Q22" s="144"/>
      <c r="R22" s="49"/>
      <c r="S22" s="137"/>
      <c r="T22" s="137"/>
      <c r="U22" s="138"/>
      <c r="V22" s="139"/>
      <c r="W22" s="243"/>
      <c r="X22" s="149"/>
      <c r="Y22" s="149"/>
      <c r="Z22" s="138"/>
      <c r="AA22" s="139"/>
      <c r="AB22" s="15">
        <f t="shared" si="1"/>
        <v>1</v>
      </c>
      <c r="AC22" s="17">
        <f t="shared" si="0"/>
        <v>0</v>
      </c>
      <c r="AD22" s="17">
        <f t="shared" si="0"/>
        <v>0</v>
      </c>
      <c r="AE22" s="17">
        <f t="shared" si="2"/>
        <v>0</v>
      </c>
      <c r="AF22" s="17">
        <f t="shared" si="3"/>
        <v>0</v>
      </c>
      <c r="AG22" s="19">
        <f t="shared" si="4"/>
        <v>5</v>
      </c>
    </row>
    <row r="23" spans="2:33" x14ac:dyDescent="0.25">
      <c r="B23" s="236" t="s">
        <v>17</v>
      </c>
      <c r="C23" s="49" t="s">
        <v>50</v>
      </c>
      <c r="D23" s="137">
        <v>3</v>
      </c>
      <c r="E23" s="137">
        <v>0</v>
      </c>
      <c r="F23" s="138">
        <v>7.42</v>
      </c>
      <c r="G23" s="252" t="s">
        <v>76</v>
      </c>
      <c r="H23" s="148"/>
      <c r="I23" s="149"/>
      <c r="J23" s="149"/>
      <c r="K23" s="138"/>
      <c r="L23" s="139"/>
      <c r="M23" s="243"/>
      <c r="N23" s="149"/>
      <c r="O23" s="149"/>
      <c r="P23" s="138"/>
      <c r="Q23" s="144"/>
      <c r="R23" s="49"/>
      <c r="S23" s="137"/>
      <c r="T23" s="137"/>
      <c r="U23" s="138"/>
      <c r="V23" s="139"/>
      <c r="W23" s="243"/>
      <c r="X23" s="149"/>
      <c r="Y23" s="149"/>
      <c r="Z23" s="138"/>
      <c r="AA23" s="139"/>
      <c r="AB23" s="15">
        <f t="shared" si="1"/>
        <v>1</v>
      </c>
      <c r="AC23" s="17">
        <f t="shared" si="0"/>
        <v>3</v>
      </c>
      <c r="AD23" s="17">
        <f t="shared" si="0"/>
        <v>0</v>
      </c>
      <c r="AE23" s="17">
        <f t="shared" si="2"/>
        <v>3</v>
      </c>
      <c r="AF23" s="17">
        <f t="shared" si="3"/>
        <v>1</v>
      </c>
      <c r="AG23" s="19">
        <f t="shared" si="4"/>
        <v>7.42</v>
      </c>
    </row>
    <row r="24" spans="2:33" x14ac:dyDescent="0.25">
      <c r="B24" s="236" t="s">
        <v>18</v>
      </c>
      <c r="C24" s="49"/>
      <c r="D24" s="137"/>
      <c r="E24" s="137"/>
      <c r="F24" s="138"/>
      <c r="G24" s="144"/>
      <c r="H24" s="148"/>
      <c r="I24" s="149"/>
      <c r="J24" s="149"/>
      <c r="K24" s="138"/>
      <c r="L24" s="139"/>
      <c r="M24" s="243"/>
      <c r="N24" s="149"/>
      <c r="O24" s="149"/>
      <c r="P24" s="138"/>
      <c r="Q24" s="144"/>
      <c r="R24" s="49"/>
      <c r="S24" s="137"/>
      <c r="T24" s="137"/>
      <c r="U24" s="138"/>
      <c r="V24" s="139"/>
      <c r="W24" s="243"/>
      <c r="X24" s="149"/>
      <c r="Y24" s="149"/>
      <c r="Z24" s="138"/>
      <c r="AA24" s="139"/>
      <c r="AB24" s="15">
        <f t="shared" si="1"/>
        <v>0</v>
      </c>
      <c r="AC24" s="17">
        <f t="shared" si="0"/>
        <v>0</v>
      </c>
      <c r="AD24" s="17">
        <f t="shared" si="0"/>
        <v>0</v>
      </c>
      <c r="AE24" s="17">
        <f t="shared" si="2"/>
        <v>0</v>
      </c>
      <c r="AF24" s="17">
        <f t="shared" si="3"/>
        <v>0</v>
      </c>
      <c r="AG24" s="19" t="str">
        <f t="shared" si="4"/>
        <v>-</v>
      </c>
    </row>
    <row r="25" spans="2:33" x14ac:dyDescent="0.25">
      <c r="B25" s="236" t="s">
        <v>19</v>
      </c>
      <c r="C25" s="49"/>
      <c r="D25" s="137"/>
      <c r="E25" s="137"/>
      <c r="F25" s="138"/>
      <c r="G25" s="144"/>
      <c r="H25" s="148"/>
      <c r="I25" s="149"/>
      <c r="J25" s="149"/>
      <c r="K25" s="138"/>
      <c r="L25" s="139"/>
      <c r="M25" s="243"/>
      <c r="N25" s="149"/>
      <c r="O25" s="149"/>
      <c r="P25" s="138"/>
      <c r="Q25" s="144"/>
      <c r="R25" s="49"/>
      <c r="S25" s="137"/>
      <c r="T25" s="137"/>
      <c r="U25" s="138"/>
      <c r="V25" s="139"/>
      <c r="W25" s="243"/>
      <c r="X25" s="149"/>
      <c r="Y25" s="149"/>
      <c r="Z25" s="138"/>
      <c r="AA25" s="139"/>
      <c r="AB25" s="15">
        <f t="shared" si="1"/>
        <v>0</v>
      </c>
      <c r="AC25" s="17">
        <f t="shared" si="0"/>
        <v>0</v>
      </c>
      <c r="AD25" s="17">
        <f t="shared" si="0"/>
        <v>0</v>
      </c>
      <c r="AE25" s="17">
        <f t="shared" si="2"/>
        <v>0</v>
      </c>
      <c r="AF25" s="17">
        <f t="shared" si="3"/>
        <v>0</v>
      </c>
      <c r="AG25" s="19" t="str">
        <f t="shared" si="4"/>
        <v>-</v>
      </c>
    </row>
    <row r="26" spans="2:33" x14ac:dyDescent="0.25">
      <c r="B26" s="236" t="s">
        <v>79</v>
      </c>
      <c r="C26" s="49"/>
      <c r="D26" s="137"/>
      <c r="E26" s="137"/>
      <c r="F26" s="138"/>
      <c r="G26" s="144"/>
      <c r="H26" s="148"/>
      <c r="I26" s="149"/>
      <c r="J26" s="149"/>
      <c r="K26" s="138"/>
      <c r="L26" s="139"/>
      <c r="M26" s="243"/>
      <c r="N26" s="149"/>
      <c r="O26" s="149"/>
      <c r="P26" s="138"/>
      <c r="Q26" s="144"/>
      <c r="R26" s="49"/>
      <c r="S26" s="137"/>
      <c r="T26" s="137"/>
      <c r="U26" s="138"/>
      <c r="V26" s="139"/>
      <c r="W26" s="243"/>
      <c r="X26" s="149"/>
      <c r="Y26" s="149"/>
      <c r="Z26" s="138"/>
      <c r="AA26" s="139"/>
      <c r="AB26" s="15">
        <f t="shared" si="1"/>
        <v>0</v>
      </c>
      <c r="AC26" s="17">
        <f t="shared" si="0"/>
        <v>0</v>
      </c>
      <c r="AD26" s="17">
        <f t="shared" si="0"/>
        <v>0</v>
      </c>
      <c r="AE26" s="17">
        <f t="shared" si="2"/>
        <v>0</v>
      </c>
      <c r="AF26" s="17">
        <f t="shared" si="3"/>
        <v>0</v>
      </c>
      <c r="AG26" s="19" t="str">
        <f t="shared" si="4"/>
        <v>-</v>
      </c>
    </row>
    <row r="27" spans="2:33" x14ac:dyDescent="0.25">
      <c r="B27" s="236" t="s">
        <v>20</v>
      </c>
      <c r="C27" s="49" t="s">
        <v>50</v>
      </c>
      <c r="D27" s="137">
        <v>2</v>
      </c>
      <c r="E27" s="137">
        <v>2</v>
      </c>
      <c r="F27" s="138">
        <v>6.16</v>
      </c>
      <c r="G27" s="144"/>
      <c r="H27" s="148"/>
      <c r="I27" s="149"/>
      <c r="J27" s="149"/>
      <c r="K27" s="138"/>
      <c r="L27" s="139"/>
      <c r="M27" s="243"/>
      <c r="N27" s="149"/>
      <c r="O27" s="149"/>
      <c r="P27" s="138"/>
      <c r="Q27" s="255"/>
      <c r="R27" s="49"/>
      <c r="S27" s="137"/>
      <c r="T27" s="137"/>
      <c r="U27" s="138"/>
      <c r="V27" s="139"/>
      <c r="W27" s="243"/>
      <c r="X27" s="149"/>
      <c r="Y27" s="149"/>
      <c r="Z27" s="138"/>
      <c r="AA27" s="155"/>
      <c r="AB27" s="15">
        <f t="shared" si="1"/>
        <v>1</v>
      </c>
      <c r="AC27" s="17">
        <f t="shared" si="0"/>
        <v>2</v>
      </c>
      <c r="AD27" s="17">
        <f t="shared" si="0"/>
        <v>2</v>
      </c>
      <c r="AE27" s="17">
        <f t="shared" si="2"/>
        <v>4</v>
      </c>
      <c r="AF27" s="17">
        <f t="shared" si="3"/>
        <v>0</v>
      </c>
      <c r="AG27" s="19">
        <f t="shared" si="4"/>
        <v>6.16</v>
      </c>
    </row>
    <row r="28" spans="2:33" x14ac:dyDescent="0.25">
      <c r="B28" s="237" t="s">
        <v>82</v>
      </c>
      <c r="C28" s="9" t="s">
        <v>50</v>
      </c>
      <c r="D28" s="159">
        <v>0</v>
      </c>
      <c r="E28" s="159">
        <v>0</v>
      </c>
      <c r="F28" s="4">
        <v>6.42</v>
      </c>
      <c r="G28" s="37"/>
      <c r="H28" s="9"/>
      <c r="I28" s="159"/>
      <c r="J28" s="159"/>
      <c r="K28" s="4"/>
      <c r="L28" s="10"/>
      <c r="M28" s="23"/>
      <c r="N28" s="159"/>
      <c r="O28" s="159"/>
      <c r="P28" s="4"/>
      <c r="Q28" s="37"/>
      <c r="R28" s="9"/>
      <c r="S28" s="159"/>
      <c r="T28" s="159"/>
      <c r="U28" s="4"/>
      <c r="V28" s="10"/>
      <c r="W28" s="259"/>
      <c r="X28" s="3"/>
      <c r="Y28" s="3"/>
      <c r="Z28" s="4"/>
      <c r="AA28" s="10"/>
      <c r="AB28" s="15">
        <f t="shared" si="1"/>
        <v>1</v>
      </c>
      <c r="AC28" s="17">
        <f t="shared" si="0"/>
        <v>0</v>
      </c>
      <c r="AD28" s="17">
        <f t="shared" si="0"/>
        <v>0</v>
      </c>
      <c r="AE28" s="17">
        <f t="shared" si="2"/>
        <v>0</v>
      </c>
      <c r="AF28" s="17">
        <f t="shared" si="3"/>
        <v>0</v>
      </c>
      <c r="AG28" s="19">
        <f t="shared" si="4"/>
        <v>6.42</v>
      </c>
    </row>
    <row r="29" spans="2:33" x14ac:dyDescent="0.25">
      <c r="B29" s="236" t="s">
        <v>21</v>
      </c>
      <c r="C29" s="49"/>
      <c r="D29" s="137"/>
      <c r="E29" s="137"/>
      <c r="F29" s="138"/>
      <c r="G29" s="144"/>
      <c r="H29" s="148"/>
      <c r="I29" s="149"/>
      <c r="J29" s="149"/>
      <c r="K29" s="138"/>
      <c r="L29" s="139"/>
      <c r="M29" s="243"/>
      <c r="N29" s="149"/>
      <c r="O29" s="149"/>
      <c r="P29" s="138"/>
      <c r="Q29" s="144"/>
      <c r="R29" s="49"/>
      <c r="S29" s="137"/>
      <c r="T29" s="137"/>
      <c r="U29" s="138"/>
      <c r="V29" s="139"/>
      <c r="W29" s="243"/>
      <c r="X29" s="149"/>
      <c r="Y29" s="149"/>
      <c r="Z29" s="138"/>
      <c r="AA29" s="139"/>
      <c r="AB29" s="15">
        <f t="shared" si="1"/>
        <v>0</v>
      </c>
      <c r="AC29" s="17">
        <f t="shared" si="0"/>
        <v>0</v>
      </c>
      <c r="AD29" s="17">
        <f t="shared" si="0"/>
        <v>0</v>
      </c>
      <c r="AE29" s="17">
        <f t="shared" si="2"/>
        <v>0</v>
      </c>
      <c r="AF29" s="17">
        <f t="shared" si="3"/>
        <v>0</v>
      </c>
      <c r="AG29" s="19" t="str">
        <f t="shared" si="4"/>
        <v>-</v>
      </c>
    </row>
    <row r="30" spans="2:33" x14ac:dyDescent="0.25">
      <c r="B30" s="236" t="s">
        <v>22</v>
      </c>
      <c r="C30" s="49" t="s">
        <v>50</v>
      </c>
      <c r="D30" s="137">
        <v>2</v>
      </c>
      <c r="E30" s="137">
        <v>1</v>
      </c>
      <c r="F30" s="138">
        <v>4.92</v>
      </c>
      <c r="G30" s="144"/>
      <c r="H30" s="148"/>
      <c r="I30" s="149"/>
      <c r="J30" s="149"/>
      <c r="K30" s="138"/>
      <c r="L30" s="139"/>
      <c r="M30" s="243"/>
      <c r="N30" s="149"/>
      <c r="O30" s="149"/>
      <c r="P30" s="138"/>
      <c r="Q30" s="255"/>
      <c r="R30" s="49"/>
      <c r="S30" s="137"/>
      <c r="T30" s="137"/>
      <c r="U30" s="138"/>
      <c r="V30" s="139"/>
      <c r="W30" s="243"/>
      <c r="X30" s="149"/>
      <c r="Y30" s="149"/>
      <c r="Z30" s="138"/>
      <c r="AA30" s="155"/>
      <c r="AB30" s="15">
        <f t="shared" si="1"/>
        <v>1</v>
      </c>
      <c r="AC30" s="17">
        <f t="shared" si="0"/>
        <v>2</v>
      </c>
      <c r="AD30" s="17">
        <f t="shared" si="0"/>
        <v>1</v>
      </c>
      <c r="AE30" s="17">
        <f t="shared" si="2"/>
        <v>3</v>
      </c>
      <c r="AF30" s="17">
        <f t="shared" si="3"/>
        <v>0</v>
      </c>
      <c r="AG30" s="19">
        <f t="shared" si="4"/>
        <v>4.92</v>
      </c>
    </row>
    <row r="31" spans="2:33" x14ac:dyDescent="0.25">
      <c r="B31" s="236" t="s">
        <v>23</v>
      </c>
      <c r="C31" s="49" t="s">
        <v>50</v>
      </c>
      <c r="D31" s="137">
        <v>7</v>
      </c>
      <c r="E31" s="137">
        <v>1</v>
      </c>
      <c r="F31" s="138">
        <v>8.66</v>
      </c>
      <c r="G31" s="144"/>
      <c r="H31" s="148"/>
      <c r="I31" s="149"/>
      <c r="J31" s="149"/>
      <c r="K31" s="138"/>
      <c r="L31" s="139"/>
      <c r="M31" s="243"/>
      <c r="N31" s="149"/>
      <c r="O31" s="149"/>
      <c r="P31" s="138"/>
      <c r="Q31" s="144"/>
      <c r="R31" s="49"/>
      <c r="S31" s="137"/>
      <c r="T31" s="137"/>
      <c r="U31" s="138"/>
      <c r="V31" s="139"/>
      <c r="W31" s="243"/>
      <c r="X31" s="149"/>
      <c r="Y31" s="149"/>
      <c r="Z31" s="138"/>
      <c r="AA31" s="155"/>
      <c r="AB31" s="15">
        <f t="shared" si="1"/>
        <v>1</v>
      </c>
      <c r="AC31" s="17">
        <f t="shared" si="0"/>
        <v>7</v>
      </c>
      <c r="AD31" s="17">
        <f t="shared" si="0"/>
        <v>1</v>
      </c>
      <c r="AE31" s="17">
        <f t="shared" si="2"/>
        <v>8</v>
      </c>
      <c r="AF31" s="17">
        <f t="shared" si="3"/>
        <v>0</v>
      </c>
      <c r="AG31" s="19">
        <f t="shared" si="4"/>
        <v>8.66</v>
      </c>
    </row>
    <row r="32" spans="2:33" x14ac:dyDescent="0.25">
      <c r="B32" s="237" t="s">
        <v>84</v>
      </c>
      <c r="C32" s="9"/>
      <c r="D32" s="159"/>
      <c r="E32" s="159"/>
      <c r="F32" s="4"/>
      <c r="G32" s="37"/>
      <c r="H32" s="9"/>
      <c r="I32" s="159"/>
      <c r="J32" s="159"/>
      <c r="K32" s="4"/>
      <c r="L32" s="10"/>
      <c r="M32" s="23"/>
      <c r="N32" s="159"/>
      <c r="O32" s="159"/>
      <c r="P32" s="4"/>
      <c r="Q32" s="37"/>
      <c r="R32" s="9"/>
      <c r="S32" s="159"/>
      <c r="T32" s="159"/>
      <c r="U32" s="4"/>
      <c r="V32" s="10"/>
      <c r="W32" s="259"/>
      <c r="X32" s="3"/>
      <c r="Y32" s="3"/>
      <c r="Z32" s="4"/>
      <c r="AA32" s="10"/>
      <c r="AB32" s="15">
        <f t="shared" si="1"/>
        <v>0</v>
      </c>
      <c r="AC32" s="17">
        <f t="shared" si="0"/>
        <v>0</v>
      </c>
      <c r="AD32" s="17">
        <f t="shared" si="0"/>
        <v>0</v>
      </c>
      <c r="AE32" s="17">
        <f t="shared" si="2"/>
        <v>0</v>
      </c>
      <c r="AF32" s="17">
        <f t="shared" si="3"/>
        <v>0</v>
      </c>
      <c r="AG32" s="19" t="str">
        <f t="shared" si="4"/>
        <v>-</v>
      </c>
    </row>
    <row r="33" spans="2:33" x14ac:dyDescent="0.25">
      <c r="B33" s="236" t="s">
        <v>24</v>
      </c>
      <c r="C33" s="49"/>
      <c r="D33" s="137"/>
      <c r="E33" s="137"/>
      <c r="F33" s="138"/>
      <c r="G33" s="144"/>
      <c r="H33" s="148"/>
      <c r="I33" s="149"/>
      <c r="J33" s="149"/>
      <c r="K33" s="138"/>
      <c r="L33" s="139"/>
      <c r="M33" s="243"/>
      <c r="N33" s="149"/>
      <c r="O33" s="149"/>
      <c r="P33" s="138"/>
      <c r="Q33" s="144"/>
      <c r="R33" s="49"/>
      <c r="S33" s="137"/>
      <c r="T33" s="137"/>
      <c r="U33" s="138"/>
      <c r="V33" s="139"/>
      <c r="W33" s="243"/>
      <c r="X33" s="149"/>
      <c r="Y33" s="149"/>
      <c r="Z33" s="138"/>
      <c r="AA33" s="139"/>
      <c r="AB33" s="15">
        <f t="shared" si="1"/>
        <v>0</v>
      </c>
      <c r="AC33" s="17">
        <f t="shared" si="0"/>
        <v>0</v>
      </c>
      <c r="AD33" s="17">
        <f t="shared" si="0"/>
        <v>0</v>
      </c>
      <c r="AE33" s="17">
        <f t="shared" si="2"/>
        <v>0</v>
      </c>
      <c r="AF33" s="17">
        <f t="shared" si="3"/>
        <v>0</v>
      </c>
      <c r="AG33" s="19" t="str">
        <f t="shared" si="4"/>
        <v>-</v>
      </c>
    </row>
    <row r="34" spans="2:33" x14ac:dyDescent="0.25">
      <c r="B34" s="236" t="s">
        <v>25</v>
      </c>
      <c r="C34" s="49"/>
      <c r="D34" s="137"/>
      <c r="E34" s="137"/>
      <c r="F34" s="138"/>
      <c r="G34" s="144"/>
      <c r="H34" s="148"/>
      <c r="I34" s="149"/>
      <c r="J34" s="149"/>
      <c r="K34" s="138"/>
      <c r="L34" s="139"/>
      <c r="M34" s="243"/>
      <c r="N34" s="149"/>
      <c r="O34" s="149"/>
      <c r="P34" s="138"/>
      <c r="Q34" s="255"/>
      <c r="R34" s="49"/>
      <c r="S34" s="137"/>
      <c r="T34" s="137"/>
      <c r="U34" s="138"/>
      <c r="V34" s="139"/>
      <c r="W34" s="243"/>
      <c r="X34" s="149"/>
      <c r="Y34" s="149"/>
      <c r="Z34" s="138"/>
      <c r="AA34" s="139"/>
      <c r="AB34" s="15">
        <f t="shared" si="1"/>
        <v>0</v>
      </c>
      <c r="AC34" s="17">
        <f t="shared" si="0"/>
        <v>0</v>
      </c>
      <c r="AD34" s="17">
        <f t="shared" si="0"/>
        <v>0</v>
      </c>
      <c r="AE34" s="17">
        <f t="shared" si="2"/>
        <v>0</v>
      </c>
      <c r="AF34" s="17">
        <f t="shared" si="3"/>
        <v>0</v>
      </c>
      <c r="AG34" s="19" t="str">
        <f t="shared" si="4"/>
        <v>-</v>
      </c>
    </row>
    <row r="35" spans="2:33" x14ac:dyDescent="0.25">
      <c r="B35" s="236" t="s">
        <v>26</v>
      </c>
      <c r="C35" s="49" t="s">
        <v>50</v>
      </c>
      <c r="D35" s="137">
        <v>3</v>
      </c>
      <c r="E35" s="137">
        <v>2</v>
      </c>
      <c r="F35" s="138">
        <v>8.58</v>
      </c>
      <c r="G35" s="252" t="s">
        <v>76</v>
      </c>
      <c r="H35" s="148"/>
      <c r="I35" s="149"/>
      <c r="J35" s="149"/>
      <c r="K35" s="138"/>
      <c r="L35" s="139"/>
      <c r="M35" s="243"/>
      <c r="N35" s="149"/>
      <c r="O35" s="149"/>
      <c r="P35" s="138"/>
      <c r="Q35" s="144"/>
      <c r="R35" s="49"/>
      <c r="S35" s="137"/>
      <c r="T35" s="137"/>
      <c r="U35" s="138"/>
      <c r="V35" s="139"/>
      <c r="W35" s="243"/>
      <c r="X35" s="149"/>
      <c r="Y35" s="149"/>
      <c r="Z35" s="138"/>
      <c r="AA35" s="139"/>
      <c r="AB35" s="15">
        <f t="shared" si="1"/>
        <v>1</v>
      </c>
      <c r="AC35" s="17">
        <f t="shared" si="0"/>
        <v>3</v>
      </c>
      <c r="AD35" s="17">
        <f t="shared" si="0"/>
        <v>2</v>
      </c>
      <c r="AE35" s="17">
        <f t="shared" si="2"/>
        <v>5</v>
      </c>
      <c r="AF35" s="17">
        <f t="shared" si="3"/>
        <v>1</v>
      </c>
      <c r="AG35" s="19">
        <f t="shared" si="4"/>
        <v>8.58</v>
      </c>
    </row>
    <row r="36" spans="2:33" x14ac:dyDescent="0.25">
      <c r="B36" s="236" t="s">
        <v>27</v>
      </c>
      <c r="C36" s="49"/>
      <c r="D36" s="137"/>
      <c r="E36" s="137"/>
      <c r="F36" s="138"/>
      <c r="G36" s="144"/>
      <c r="H36" s="148"/>
      <c r="I36" s="149"/>
      <c r="J36" s="149"/>
      <c r="K36" s="138"/>
      <c r="L36" s="139"/>
      <c r="M36" s="243"/>
      <c r="N36" s="149"/>
      <c r="O36" s="149"/>
      <c r="P36" s="138"/>
      <c r="Q36" s="144"/>
      <c r="R36" s="49"/>
      <c r="S36" s="137"/>
      <c r="T36" s="137"/>
      <c r="U36" s="138"/>
      <c r="V36" s="139"/>
      <c r="W36" s="243"/>
      <c r="X36" s="149"/>
      <c r="Y36" s="149"/>
      <c r="Z36" s="138"/>
      <c r="AA36" s="139"/>
      <c r="AB36" s="15">
        <f t="shared" si="1"/>
        <v>0</v>
      </c>
      <c r="AC36" s="17">
        <f t="shared" si="0"/>
        <v>0</v>
      </c>
      <c r="AD36" s="17">
        <f t="shared" si="0"/>
        <v>0</v>
      </c>
      <c r="AE36" s="17">
        <f t="shared" si="2"/>
        <v>0</v>
      </c>
      <c r="AF36" s="17">
        <f t="shared" si="3"/>
        <v>0</v>
      </c>
      <c r="AG36" s="19" t="str">
        <f t="shared" si="4"/>
        <v>-</v>
      </c>
    </row>
    <row r="37" spans="2:33" x14ac:dyDescent="0.25">
      <c r="B37" s="236" t="s">
        <v>28</v>
      </c>
      <c r="C37" s="49" t="s">
        <v>50</v>
      </c>
      <c r="D37" s="137">
        <v>0</v>
      </c>
      <c r="E37" s="137">
        <v>0</v>
      </c>
      <c r="F37" s="138">
        <v>6</v>
      </c>
      <c r="G37" s="144"/>
      <c r="H37" s="148"/>
      <c r="I37" s="149"/>
      <c r="J37" s="149"/>
      <c r="K37" s="138"/>
      <c r="L37" s="139"/>
      <c r="M37" s="243"/>
      <c r="N37" s="149"/>
      <c r="O37" s="149"/>
      <c r="P37" s="138"/>
      <c r="Q37" s="144"/>
      <c r="R37" s="49"/>
      <c r="S37" s="137"/>
      <c r="T37" s="137"/>
      <c r="U37" s="138"/>
      <c r="V37" s="139"/>
      <c r="W37" s="243"/>
      <c r="X37" s="149"/>
      <c r="Y37" s="149"/>
      <c r="Z37" s="138"/>
      <c r="AA37" s="139"/>
      <c r="AB37" s="15">
        <f t="shared" si="1"/>
        <v>1</v>
      </c>
      <c r="AC37" s="17">
        <f t="shared" si="0"/>
        <v>0</v>
      </c>
      <c r="AD37" s="17">
        <f t="shared" si="0"/>
        <v>0</v>
      </c>
      <c r="AE37" s="17">
        <f t="shared" si="2"/>
        <v>0</v>
      </c>
      <c r="AF37" s="17">
        <f t="shared" si="3"/>
        <v>0</v>
      </c>
      <c r="AG37" s="19">
        <f t="shared" si="4"/>
        <v>6</v>
      </c>
    </row>
    <row r="38" spans="2:33" x14ac:dyDescent="0.25">
      <c r="B38" s="236" t="s">
        <v>77</v>
      </c>
      <c r="C38" s="49" t="s">
        <v>50</v>
      </c>
      <c r="D38" s="137">
        <v>0</v>
      </c>
      <c r="E38" s="137">
        <v>0</v>
      </c>
      <c r="F38" s="138"/>
      <c r="G38" s="144"/>
      <c r="H38" s="148"/>
      <c r="I38" s="149"/>
      <c r="J38" s="149"/>
      <c r="K38" s="138"/>
      <c r="L38" s="139"/>
      <c r="M38" s="243"/>
      <c r="N38" s="149"/>
      <c r="O38" s="149"/>
      <c r="P38" s="138"/>
      <c r="Q38" s="144"/>
      <c r="R38" s="49"/>
      <c r="S38" s="137"/>
      <c r="T38" s="137"/>
      <c r="U38" s="138"/>
      <c r="V38" s="139"/>
      <c r="W38" s="243"/>
      <c r="X38" s="149"/>
      <c r="Y38" s="149"/>
      <c r="Z38" s="138"/>
      <c r="AA38" s="139"/>
      <c r="AB38" s="15">
        <f t="shared" si="1"/>
        <v>1</v>
      </c>
      <c r="AC38" s="17">
        <f t="shared" si="0"/>
        <v>0</v>
      </c>
      <c r="AD38" s="17">
        <f t="shared" si="0"/>
        <v>0</v>
      </c>
      <c r="AE38" s="17">
        <f t="shared" si="2"/>
        <v>0</v>
      </c>
      <c r="AF38" s="17">
        <f t="shared" si="3"/>
        <v>0</v>
      </c>
      <c r="AG38" s="19" t="str">
        <f t="shared" si="4"/>
        <v>-</v>
      </c>
    </row>
    <row r="39" spans="2:33" x14ac:dyDescent="0.25">
      <c r="B39" s="236" t="s">
        <v>29</v>
      </c>
      <c r="C39" s="49"/>
      <c r="D39" s="137"/>
      <c r="E39" s="137"/>
      <c r="F39" s="138"/>
      <c r="G39" s="144"/>
      <c r="H39" s="148"/>
      <c r="I39" s="149"/>
      <c r="J39" s="149"/>
      <c r="K39" s="138"/>
      <c r="L39" s="139"/>
      <c r="M39" s="243"/>
      <c r="N39" s="149"/>
      <c r="O39" s="149"/>
      <c r="P39" s="138"/>
      <c r="Q39" s="144"/>
      <c r="R39" s="49"/>
      <c r="S39" s="137"/>
      <c r="T39" s="137"/>
      <c r="U39" s="138"/>
      <c r="V39" s="139"/>
      <c r="W39" s="243"/>
      <c r="X39" s="149"/>
      <c r="Y39" s="149"/>
      <c r="Z39" s="138"/>
      <c r="AA39" s="139"/>
      <c r="AB39" s="15">
        <f t="shared" si="1"/>
        <v>0</v>
      </c>
      <c r="AC39" s="17">
        <f t="shared" si="0"/>
        <v>0</v>
      </c>
      <c r="AD39" s="17">
        <f t="shared" si="0"/>
        <v>0</v>
      </c>
      <c r="AE39" s="17">
        <f t="shared" si="2"/>
        <v>0</v>
      </c>
      <c r="AF39" s="17">
        <f t="shared" si="3"/>
        <v>0</v>
      </c>
      <c r="AG39" s="19" t="str">
        <f t="shared" si="4"/>
        <v>-</v>
      </c>
    </row>
    <row r="40" spans="2:33" x14ac:dyDescent="0.25">
      <c r="B40" s="236" t="s">
        <v>30</v>
      </c>
      <c r="C40" s="49"/>
      <c r="D40" s="137"/>
      <c r="E40" s="137"/>
      <c r="F40" s="138"/>
      <c r="G40" s="144"/>
      <c r="H40" s="148"/>
      <c r="I40" s="149"/>
      <c r="J40" s="149"/>
      <c r="K40" s="138"/>
      <c r="L40" s="139"/>
      <c r="M40" s="243"/>
      <c r="N40" s="149"/>
      <c r="O40" s="149"/>
      <c r="P40" s="138"/>
      <c r="Q40" s="144"/>
      <c r="R40" s="49"/>
      <c r="S40" s="137"/>
      <c r="T40" s="137"/>
      <c r="U40" s="138"/>
      <c r="V40" s="139"/>
      <c r="W40" s="243"/>
      <c r="X40" s="149"/>
      <c r="Y40" s="149"/>
      <c r="Z40" s="138"/>
      <c r="AA40" s="139"/>
      <c r="AB40" s="15">
        <f t="shared" si="1"/>
        <v>0</v>
      </c>
      <c r="AC40" s="17">
        <f t="shared" si="0"/>
        <v>0</v>
      </c>
      <c r="AD40" s="17">
        <f t="shared" si="0"/>
        <v>0</v>
      </c>
      <c r="AE40" s="17">
        <f t="shared" si="2"/>
        <v>0</v>
      </c>
      <c r="AF40" s="17">
        <f t="shared" si="3"/>
        <v>0</v>
      </c>
      <c r="AG40" s="19" t="str">
        <f t="shared" si="4"/>
        <v>-</v>
      </c>
    </row>
    <row r="41" spans="2:33" x14ac:dyDescent="0.25">
      <c r="B41" s="236" t="s">
        <v>31</v>
      </c>
      <c r="C41" s="49" t="s">
        <v>50</v>
      </c>
      <c r="D41" s="137">
        <v>0</v>
      </c>
      <c r="E41" s="137">
        <v>0</v>
      </c>
      <c r="F41" s="138">
        <v>6.7</v>
      </c>
      <c r="G41" s="252" t="s">
        <v>76</v>
      </c>
      <c r="H41" s="148"/>
      <c r="I41" s="149"/>
      <c r="J41" s="149"/>
      <c r="K41" s="138"/>
      <c r="L41" s="139"/>
      <c r="M41" s="243"/>
      <c r="N41" s="149"/>
      <c r="O41" s="149"/>
      <c r="P41" s="138"/>
      <c r="Q41" s="144"/>
      <c r="R41" s="49"/>
      <c r="S41" s="137"/>
      <c r="T41" s="137"/>
      <c r="U41" s="138"/>
      <c r="V41" s="139"/>
      <c r="W41" s="243"/>
      <c r="X41" s="149"/>
      <c r="Y41" s="149"/>
      <c r="Z41" s="138"/>
      <c r="AA41" s="155"/>
      <c r="AB41" s="15">
        <f t="shared" si="1"/>
        <v>1</v>
      </c>
      <c r="AC41" s="17">
        <f t="shared" si="0"/>
        <v>0</v>
      </c>
      <c r="AD41" s="17">
        <f t="shared" si="0"/>
        <v>0</v>
      </c>
      <c r="AE41" s="17">
        <f t="shared" si="2"/>
        <v>0</v>
      </c>
      <c r="AF41" s="17">
        <f t="shared" si="3"/>
        <v>1</v>
      </c>
      <c r="AG41" s="19">
        <f t="shared" si="4"/>
        <v>6.7</v>
      </c>
    </row>
    <row r="42" spans="2:33" x14ac:dyDescent="0.25">
      <c r="B42" s="236" t="s">
        <v>32</v>
      </c>
      <c r="C42" s="49"/>
      <c r="D42" s="137"/>
      <c r="E42" s="137"/>
      <c r="F42" s="138"/>
      <c r="G42" s="144"/>
      <c r="H42" s="148"/>
      <c r="I42" s="149"/>
      <c r="J42" s="149"/>
      <c r="K42" s="138"/>
      <c r="L42" s="139"/>
      <c r="M42" s="243"/>
      <c r="N42" s="149"/>
      <c r="O42" s="149"/>
      <c r="P42" s="138"/>
      <c r="Q42" s="144"/>
      <c r="R42" s="49"/>
      <c r="S42" s="137"/>
      <c r="T42" s="137"/>
      <c r="U42" s="138"/>
      <c r="V42" s="139"/>
      <c r="W42" s="243"/>
      <c r="X42" s="149"/>
      <c r="Y42" s="149"/>
      <c r="Z42" s="138"/>
      <c r="AA42" s="139"/>
      <c r="AB42" s="15">
        <f t="shared" si="1"/>
        <v>0</v>
      </c>
      <c r="AC42" s="17">
        <f t="shared" si="0"/>
        <v>0</v>
      </c>
      <c r="AD42" s="17">
        <f t="shared" si="0"/>
        <v>0</v>
      </c>
      <c r="AE42" s="17">
        <f t="shared" si="2"/>
        <v>0</v>
      </c>
      <c r="AF42" s="17">
        <f t="shared" si="3"/>
        <v>0</v>
      </c>
      <c r="AG42" s="19" t="str">
        <f t="shared" si="4"/>
        <v>-</v>
      </c>
    </row>
    <row r="43" spans="2:33" x14ac:dyDescent="0.25">
      <c r="B43" s="236" t="s">
        <v>33</v>
      </c>
      <c r="C43" s="49"/>
      <c r="D43" s="137"/>
      <c r="E43" s="137"/>
      <c r="F43" s="138"/>
      <c r="G43" s="144"/>
      <c r="H43" s="148"/>
      <c r="I43" s="149"/>
      <c r="J43" s="149"/>
      <c r="K43" s="138"/>
      <c r="L43" s="139"/>
      <c r="M43" s="243"/>
      <c r="N43" s="149"/>
      <c r="O43" s="149"/>
      <c r="P43" s="138"/>
      <c r="Q43" s="144"/>
      <c r="R43" s="49"/>
      <c r="S43" s="137"/>
      <c r="T43" s="137"/>
      <c r="U43" s="138"/>
      <c r="V43" s="139"/>
      <c r="W43" s="243"/>
      <c r="X43" s="149"/>
      <c r="Y43" s="149"/>
      <c r="Z43" s="138"/>
      <c r="AA43" s="139"/>
      <c r="AB43" s="15">
        <f t="shared" si="1"/>
        <v>0</v>
      </c>
      <c r="AC43" s="17">
        <f t="shared" si="0"/>
        <v>0</v>
      </c>
      <c r="AD43" s="17">
        <f t="shared" si="0"/>
        <v>0</v>
      </c>
      <c r="AE43" s="17">
        <f t="shared" si="2"/>
        <v>0</v>
      </c>
      <c r="AF43" s="17">
        <f t="shared" si="3"/>
        <v>0</v>
      </c>
      <c r="AG43" s="19" t="str">
        <f t="shared" si="4"/>
        <v>-</v>
      </c>
    </row>
    <row r="44" spans="2:33" x14ac:dyDescent="0.25">
      <c r="B44" s="236" t="s">
        <v>34</v>
      </c>
      <c r="C44" s="49"/>
      <c r="D44" s="137"/>
      <c r="E44" s="137"/>
      <c r="F44" s="138"/>
      <c r="G44" s="144"/>
      <c r="H44" s="148"/>
      <c r="I44" s="149"/>
      <c r="J44" s="149"/>
      <c r="K44" s="138"/>
      <c r="L44" s="139"/>
      <c r="M44" s="243"/>
      <c r="N44" s="149"/>
      <c r="O44" s="149"/>
      <c r="P44" s="138"/>
      <c r="Q44" s="144"/>
      <c r="R44" s="49"/>
      <c r="S44" s="137"/>
      <c r="T44" s="137"/>
      <c r="U44" s="138"/>
      <c r="V44" s="139"/>
      <c r="W44" s="243"/>
      <c r="X44" s="149"/>
      <c r="Y44" s="149"/>
      <c r="Z44" s="138"/>
      <c r="AA44" s="139"/>
      <c r="AB44" s="15">
        <f t="shared" si="1"/>
        <v>0</v>
      </c>
      <c r="AC44" s="17">
        <f t="shared" si="0"/>
        <v>0</v>
      </c>
      <c r="AD44" s="17">
        <f t="shared" si="0"/>
        <v>0</v>
      </c>
      <c r="AE44" s="17">
        <f t="shared" si="2"/>
        <v>0</v>
      </c>
      <c r="AF44" s="17">
        <f t="shared" si="3"/>
        <v>0</v>
      </c>
      <c r="AG44" s="19" t="str">
        <f t="shared" si="4"/>
        <v>-</v>
      </c>
    </row>
    <row r="45" spans="2:33" x14ac:dyDescent="0.25">
      <c r="B45" s="236" t="s">
        <v>35</v>
      </c>
      <c r="C45" s="49" t="s">
        <v>50</v>
      </c>
      <c r="D45" s="137">
        <v>1</v>
      </c>
      <c r="E45" s="137">
        <v>3</v>
      </c>
      <c r="F45" s="138">
        <v>5.46</v>
      </c>
      <c r="G45" s="144"/>
      <c r="H45" s="148"/>
      <c r="I45" s="149"/>
      <c r="J45" s="149"/>
      <c r="K45" s="138"/>
      <c r="L45" s="139"/>
      <c r="M45" s="243"/>
      <c r="N45" s="149"/>
      <c r="O45" s="149"/>
      <c r="P45" s="138"/>
      <c r="Q45" s="255"/>
      <c r="R45" s="49"/>
      <c r="S45" s="137"/>
      <c r="T45" s="137"/>
      <c r="U45" s="138"/>
      <c r="V45" s="139"/>
      <c r="W45" s="243"/>
      <c r="X45" s="149"/>
      <c r="Y45" s="149"/>
      <c r="Z45" s="138"/>
      <c r="AA45" s="155"/>
      <c r="AB45" s="15">
        <f t="shared" si="1"/>
        <v>1</v>
      </c>
      <c r="AC45" s="17">
        <f t="shared" si="0"/>
        <v>1</v>
      </c>
      <c r="AD45" s="17">
        <f t="shared" si="0"/>
        <v>3</v>
      </c>
      <c r="AE45" s="17">
        <f t="shared" si="2"/>
        <v>4</v>
      </c>
      <c r="AF45" s="17">
        <f t="shared" si="3"/>
        <v>0</v>
      </c>
      <c r="AG45" s="19">
        <f t="shared" si="4"/>
        <v>5.46</v>
      </c>
    </row>
    <row r="46" spans="2:33" x14ac:dyDescent="0.25">
      <c r="B46" s="236" t="s">
        <v>36</v>
      </c>
      <c r="C46" s="49"/>
      <c r="D46" s="137"/>
      <c r="E46" s="137"/>
      <c r="F46" s="138"/>
      <c r="G46" s="144"/>
      <c r="H46" s="148"/>
      <c r="I46" s="149"/>
      <c r="J46" s="149"/>
      <c r="K46" s="138"/>
      <c r="L46" s="139"/>
      <c r="M46" s="243"/>
      <c r="N46" s="149"/>
      <c r="O46" s="149"/>
      <c r="P46" s="138"/>
      <c r="Q46" s="144"/>
      <c r="R46" s="49"/>
      <c r="S46" s="137"/>
      <c r="T46" s="137"/>
      <c r="U46" s="138"/>
      <c r="V46" s="139"/>
      <c r="W46" s="243"/>
      <c r="X46" s="149"/>
      <c r="Y46" s="149"/>
      <c r="Z46" s="138"/>
      <c r="AA46" s="139"/>
      <c r="AB46" s="15">
        <f t="shared" si="1"/>
        <v>0</v>
      </c>
      <c r="AC46" s="17">
        <f t="shared" si="0"/>
        <v>0</v>
      </c>
      <c r="AD46" s="17">
        <f t="shared" si="0"/>
        <v>0</v>
      </c>
      <c r="AE46" s="17">
        <f t="shared" si="2"/>
        <v>0</v>
      </c>
      <c r="AF46" s="17">
        <f t="shared" si="3"/>
        <v>0</v>
      </c>
      <c r="AG46" s="19" t="str">
        <f t="shared" si="4"/>
        <v>-</v>
      </c>
    </row>
    <row r="47" spans="2:33" x14ac:dyDescent="0.25">
      <c r="B47" s="236" t="s">
        <v>37</v>
      </c>
      <c r="C47" s="49" t="s">
        <v>50</v>
      </c>
      <c r="D47" s="137">
        <v>0</v>
      </c>
      <c r="E47" s="137">
        <v>0</v>
      </c>
      <c r="F47" s="138">
        <v>4.66</v>
      </c>
      <c r="G47" s="144"/>
      <c r="H47" s="148"/>
      <c r="I47" s="149"/>
      <c r="J47" s="149"/>
      <c r="K47" s="138"/>
      <c r="L47" s="139"/>
      <c r="M47" s="243"/>
      <c r="N47" s="149"/>
      <c r="O47" s="149"/>
      <c r="P47" s="138"/>
      <c r="Q47" s="144"/>
      <c r="R47" s="49"/>
      <c r="S47" s="137"/>
      <c r="T47" s="137"/>
      <c r="U47" s="138"/>
      <c r="V47" s="139"/>
      <c r="W47" s="243"/>
      <c r="X47" s="149"/>
      <c r="Y47" s="149"/>
      <c r="Z47" s="138"/>
      <c r="AA47" s="139"/>
      <c r="AB47" s="15">
        <f t="shared" si="1"/>
        <v>1</v>
      </c>
      <c r="AC47" s="17">
        <f t="shared" ref="AC47:AD50" si="5">SUM(D47,I47,N47,S47,X47)</f>
        <v>0</v>
      </c>
      <c r="AD47" s="17">
        <f t="shared" si="5"/>
        <v>0</v>
      </c>
      <c r="AE47" s="17">
        <f t="shared" si="2"/>
        <v>0</v>
      </c>
      <c r="AF47" s="17">
        <f t="shared" si="3"/>
        <v>0</v>
      </c>
      <c r="AG47" s="19">
        <f t="shared" si="4"/>
        <v>4.66</v>
      </c>
    </row>
    <row r="48" spans="2:33" x14ac:dyDescent="0.25">
      <c r="B48" s="237" t="s">
        <v>85</v>
      </c>
      <c r="C48" s="9" t="s">
        <v>50</v>
      </c>
      <c r="D48" s="159">
        <v>2</v>
      </c>
      <c r="E48" s="159">
        <v>0</v>
      </c>
      <c r="F48" s="4">
        <v>5.7</v>
      </c>
      <c r="G48" s="37"/>
      <c r="H48" s="9"/>
      <c r="I48" s="159"/>
      <c r="J48" s="159"/>
      <c r="K48" s="4"/>
      <c r="L48" s="10"/>
      <c r="M48" s="23"/>
      <c r="N48" s="159"/>
      <c r="O48" s="159"/>
      <c r="P48" s="4"/>
      <c r="Q48" s="37"/>
      <c r="R48" s="9"/>
      <c r="S48" s="159"/>
      <c r="T48" s="159"/>
      <c r="U48" s="4"/>
      <c r="V48" s="10"/>
      <c r="W48" s="259"/>
      <c r="X48" s="3"/>
      <c r="Y48" s="3"/>
      <c r="Z48" s="4"/>
      <c r="AA48" s="10"/>
      <c r="AB48" s="15">
        <f t="shared" si="1"/>
        <v>1</v>
      </c>
      <c r="AC48" s="17">
        <f t="shared" si="5"/>
        <v>2</v>
      </c>
      <c r="AD48" s="17">
        <f t="shared" si="5"/>
        <v>0</v>
      </c>
      <c r="AE48" s="17">
        <f t="shared" si="2"/>
        <v>2</v>
      </c>
      <c r="AF48" s="17">
        <f t="shared" si="3"/>
        <v>0</v>
      </c>
      <c r="AG48" s="19">
        <f t="shared" si="4"/>
        <v>5.7</v>
      </c>
    </row>
    <row r="49" spans="2:33" x14ac:dyDescent="0.25">
      <c r="B49" s="236" t="s">
        <v>38</v>
      </c>
      <c r="C49" s="49"/>
      <c r="D49" s="137"/>
      <c r="E49" s="137"/>
      <c r="F49" s="138"/>
      <c r="G49" s="144"/>
      <c r="H49" s="148"/>
      <c r="I49" s="149"/>
      <c r="J49" s="149"/>
      <c r="K49" s="138"/>
      <c r="L49" s="139"/>
      <c r="M49" s="243"/>
      <c r="N49" s="149"/>
      <c r="O49" s="149"/>
      <c r="P49" s="138"/>
      <c r="Q49" s="144"/>
      <c r="R49" s="49"/>
      <c r="S49" s="137"/>
      <c r="T49" s="137"/>
      <c r="U49" s="138"/>
      <c r="V49" s="139"/>
      <c r="W49" s="243"/>
      <c r="X49" s="149"/>
      <c r="Y49" s="149"/>
      <c r="Z49" s="138"/>
      <c r="AA49" s="139"/>
      <c r="AB49" s="15">
        <f t="shared" si="1"/>
        <v>0</v>
      </c>
      <c r="AC49" s="17">
        <f t="shared" si="5"/>
        <v>0</v>
      </c>
      <c r="AD49" s="17">
        <f t="shared" si="5"/>
        <v>0</v>
      </c>
      <c r="AE49" s="17">
        <f t="shared" si="2"/>
        <v>0</v>
      </c>
      <c r="AF49" s="17">
        <f t="shared" si="3"/>
        <v>0</v>
      </c>
      <c r="AG49" s="19" t="str">
        <f t="shared" si="4"/>
        <v>-</v>
      </c>
    </row>
    <row r="50" spans="2:33" x14ac:dyDescent="0.25">
      <c r="B50" s="236" t="s">
        <v>39</v>
      </c>
      <c r="C50" s="49"/>
      <c r="D50" s="137"/>
      <c r="E50" s="137"/>
      <c r="F50" s="138"/>
      <c r="G50" s="144"/>
      <c r="H50" s="148"/>
      <c r="I50" s="149"/>
      <c r="J50" s="149"/>
      <c r="K50" s="138"/>
      <c r="L50" s="139"/>
      <c r="M50" s="243"/>
      <c r="N50" s="149"/>
      <c r="O50" s="149"/>
      <c r="P50" s="138"/>
      <c r="Q50" s="144"/>
      <c r="R50" s="49"/>
      <c r="S50" s="137"/>
      <c r="T50" s="137"/>
      <c r="U50" s="138"/>
      <c r="V50" s="139"/>
      <c r="W50" s="243"/>
      <c r="X50" s="149"/>
      <c r="Y50" s="149"/>
      <c r="Z50" s="138"/>
      <c r="AA50" s="139"/>
      <c r="AB50" s="15">
        <f t="shared" si="1"/>
        <v>0</v>
      </c>
      <c r="AC50" s="17">
        <f t="shared" si="5"/>
        <v>0</v>
      </c>
      <c r="AD50" s="17">
        <f t="shared" si="5"/>
        <v>0</v>
      </c>
      <c r="AE50" s="17">
        <f t="shared" ref="AE50" si="6">SUM(AC50+AD50)</f>
        <v>0</v>
      </c>
      <c r="AF50" s="17">
        <f t="shared" si="3"/>
        <v>0</v>
      </c>
      <c r="AG50" s="19" t="str">
        <f t="shared" si="4"/>
        <v>-</v>
      </c>
    </row>
    <row r="51" spans="2:33" x14ac:dyDescent="0.25">
      <c r="B51" s="237" t="s">
        <v>80</v>
      </c>
      <c r="C51" s="49"/>
      <c r="D51" s="137"/>
      <c r="E51" s="137"/>
      <c r="F51" s="138"/>
      <c r="G51" s="144"/>
      <c r="H51" s="148"/>
      <c r="I51" s="149"/>
      <c r="J51" s="149"/>
      <c r="K51" s="138"/>
      <c r="L51" s="139"/>
      <c r="M51" s="243"/>
      <c r="N51" s="149"/>
      <c r="O51" s="149"/>
      <c r="P51" s="138"/>
      <c r="Q51" s="144"/>
      <c r="R51" s="49"/>
      <c r="S51" s="137"/>
      <c r="T51" s="137"/>
      <c r="U51" s="138"/>
      <c r="V51" s="139"/>
      <c r="W51" s="243"/>
      <c r="X51" s="149"/>
      <c r="Y51" s="149"/>
      <c r="Z51" s="138"/>
      <c r="AA51" s="139"/>
      <c r="AB51" s="15">
        <f t="shared" ref="AB51:AB52" si="7">COUNTIF(C51:Z51,"P")</f>
        <v>0</v>
      </c>
      <c r="AC51" s="17">
        <f t="shared" ref="AC51:AC52" si="8">SUM(D51,I51,N51,S51,X51)</f>
        <v>0</v>
      </c>
      <c r="AD51" s="17">
        <f t="shared" ref="AD51:AD52" si="9">SUM(E51,J51,O51,T51,Y51)</f>
        <v>0</v>
      </c>
      <c r="AE51" s="17">
        <f t="shared" ref="AE51:AE52" si="10">SUM(AC51+AD51)</f>
        <v>0</v>
      </c>
      <c r="AF51" s="17">
        <f t="shared" ref="AF51:AF52" si="11">COUNTIF(G51:AA51,"F")</f>
        <v>0</v>
      </c>
      <c r="AG51" s="19" t="str">
        <f t="shared" ref="AG51:AG52" si="12">IFERROR(AVERAGE(F51,K51,P51,U51,Z51),"-")</f>
        <v>-</v>
      </c>
    </row>
    <row r="52" spans="2:33" ht="15.75" thickBot="1" x14ac:dyDescent="0.3">
      <c r="B52" s="238" t="s">
        <v>81</v>
      </c>
      <c r="C52" s="50"/>
      <c r="D52" s="140"/>
      <c r="E52" s="140"/>
      <c r="F52" s="141"/>
      <c r="G52" s="146"/>
      <c r="H52" s="150"/>
      <c r="I52" s="151"/>
      <c r="J52" s="151"/>
      <c r="K52" s="141"/>
      <c r="L52" s="142"/>
      <c r="M52" s="244"/>
      <c r="N52" s="151"/>
      <c r="O52" s="151"/>
      <c r="P52" s="141"/>
      <c r="Q52" s="146"/>
      <c r="R52" s="50"/>
      <c r="S52" s="140"/>
      <c r="T52" s="140"/>
      <c r="U52" s="141"/>
      <c r="V52" s="142"/>
      <c r="W52" s="244"/>
      <c r="X52" s="151"/>
      <c r="Y52" s="151"/>
      <c r="Z52" s="141"/>
      <c r="AA52" s="142"/>
      <c r="AB52" s="16">
        <f t="shared" si="7"/>
        <v>0</v>
      </c>
      <c r="AC52" s="18">
        <f t="shared" si="8"/>
        <v>0</v>
      </c>
      <c r="AD52" s="18">
        <f t="shared" si="9"/>
        <v>0</v>
      </c>
      <c r="AE52" s="18">
        <f t="shared" si="10"/>
        <v>0</v>
      </c>
      <c r="AF52" s="18">
        <f t="shared" si="11"/>
        <v>0</v>
      </c>
      <c r="AG52" s="25" t="str">
        <f t="shared" si="12"/>
        <v>-</v>
      </c>
    </row>
    <row r="53" spans="2:33" x14ac:dyDescent="0.25">
      <c r="B53" s="93"/>
      <c r="C53" s="166"/>
      <c r="D53" s="166"/>
      <c r="E53" s="166"/>
      <c r="F53" s="167"/>
      <c r="G53" s="167"/>
      <c r="H53" s="167"/>
      <c r="I53" s="168"/>
      <c r="J53" s="168"/>
      <c r="K53" s="167"/>
      <c r="L53" s="167"/>
      <c r="M53" s="167"/>
      <c r="N53" s="168"/>
      <c r="O53" s="168"/>
      <c r="P53" s="167"/>
      <c r="Q53" s="167"/>
      <c r="R53" s="166"/>
      <c r="S53" s="166"/>
      <c r="T53" s="166"/>
      <c r="U53" s="167"/>
      <c r="V53" s="167"/>
      <c r="W53" s="167"/>
      <c r="X53" s="168"/>
      <c r="Y53" s="168"/>
      <c r="Z53" s="167"/>
      <c r="AA53" s="167"/>
    </row>
    <row r="54" spans="2:33" x14ac:dyDescent="0.25">
      <c r="B54" s="93"/>
      <c r="C54" s="166"/>
      <c r="D54" s="166"/>
      <c r="E54" s="166"/>
      <c r="F54" s="167"/>
      <c r="G54" s="167"/>
      <c r="H54" s="167"/>
      <c r="I54" s="168"/>
      <c r="J54" s="168"/>
      <c r="K54" s="167"/>
      <c r="L54" s="167"/>
      <c r="M54" s="167"/>
      <c r="N54" s="168"/>
      <c r="O54" s="168"/>
      <c r="P54" s="167"/>
      <c r="Q54" s="167"/>
      <c r="R54" s="166"/>
      <c r="S54" s="166"/>
      <c r="T54" s="166"/>
      <c r="U54" s="167"/>
      <c r="V54" s="167"/>
      <c r="W54" s="167"/>
      <c r="X54" s="168"/>
      <c r="Y54" s="168"/>
      <c r="Z54" s="167"/>
      <c r="AA54" s="167"/>
    </row>
    <row r="55" spans="2:33" x14ac:dyDescent="0.25">
      <c r="B55" s="93"/>
      <c r="C55" s="166"/>
      <c r="D55" s="166"/>
      <c r="E55" s="166"/>
      <c r="F55" s="167"/>
      <c r="G55" s="167"/>
      <c r="H55" s="167"/>
      <c r="I55" s="168"/>
      <c r="J55" s="168"/>
      <c r="K55" s="167"/>
      <c r="L55" s="167"/>
      <c r="M55" s="167"/>
      <c r="N55" s="168"/>
      <c r="O55" s="168"/>
      <c r="P55" s="167"/>
      <c r="Q55" s="167"/>
      <c r="R55" s="166"/>
      <c r="S55" s="166"/>
      <c r="T55" s="166"/>
      <c r="U55" s="167"/>
      <c r="V55" s="167"/>
      <c r="W55" s="167"/>
      <c r="X55" s="168"/>
      <c r="Y55" s="168"/>
      <c r="Z55" s="167"/>
      <c r="AA55" s="167"/>
    </row>
    <row r="56" spans="2:33" x14ac:dyDescent="0.25">
      <c r="B56" s="93"/>
      <c r="C56" s="166"/>
      <c r="D56" s="166"/>
      <c r="E56" s="166"/>
      <c r="F56" s="167"/>
      <c r="G56" s="167"/>
      <c r="H56" s="167"/>
      <c r="I56" s="168"/>
      <c r="J56" s="168"/>
      <c r="K56" s="167"/>
      <c r="L56" s="167"/>
      <c r="M56" s="167"/>
      <c r="N56" s="168"/>
      <c r="O56" s="168"/>
      <c r="P56" s="167"/>
      <c r="Q56" s="167"/>
      <c r="R56" s="166"/>
      <c r="S56" s="166"/>
      <c r="T56" s="166"/>
      <c r="U56" s="167"/>
      <c r="V56" s="167"/>
      <c r="W56" s="167"/>
      <c r="X56" s="168"/>
      <c r="Y56" s="168"/>
      <c r="Z56" s="167"/>
      <c r="AA56" s="167"/>
    </row>
    <row r="57" spans="2:33" x14ac:dyDescent="0.25">
      <c r="B57" s="93"/>
      <c r="C57" s="166"/>
      <c r="D57" s="166"/>
      <c r="E57" s="166"/>
      <c r="F57" s="167"/>
      <c r="G57" s="167"/>
      <c r="H57" s="167"/>
      <c r="I57" s="168"/>
      <c r="J57" s="168"/>
      <c r="K57" s="167"/>
      <c r="L57" s="167"/>
      <c r="M57" s="167"/>
      <c r="N57" s="168"/>
      <c r="O57" s="168"/>
      <c r="P57" s="167"/>
      <c r="Q57" s="167"/>
      <c r="R57" s="166"/>
      <c r="S57" s="166"/>
      <c r="T57" s="166"/>
      <c r="U57" s="167"/>
      <c r="V57" s="167"/>
      <c r="W57" s="167"/>
      <c r="X57" s="168"/>
      <c r="Y57" s="168"/>
      <c r="Z57" s="167"/>
      <c r="AA57" s="167"/>
    </row>
  </sheetData>
  <sortState xmlns:xlrd2="http://schemas.microsoft.com/office/spreadsheetml/2017/richdata2" ref="B5:AA57">
    <sortCondition ref="B5:B57"/>
  </sortState>
  <mergeCells count="13">
    <mergeCell ref="B1:AG2"/>
    <mergeCell ref="B3:B4"/>
    <mergeCell ref="C3:G3"/>
    <mergeCell ref="H3:L3"/>
    <mergeCell ref="M3:Q3"/>
    <mergeCell ref="R3:V3"/>
    <mergeCell ref="W3:AA3"/>
    <mergeCell ref="AB3:AB4"/>
    <mergeCell ref="AC3:AC4"/>
    <mergeCell ref="AD3:AD4"/>
    <mergeCell ref="AE3:AE4"/>
    <mergeCell ref="AF3:AF4"/>
    <mergeCell ref="AG3:AG4"/>
  </mergeCells>
  <conditionalFormatting sqref="AB5:AB5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{7E7D9EB3-F547-41D6-AD0B-6403B5044DE7}</x14:id>
        </ext>
      </extLst>
    </cfRule>
  </conditionalFormatting>
  <conditionalFormatting sqref="AC3:AC1048576">
    <cfRule type="top10" dxfId="36" priority="9" rank="1"/>
    <cfRule type="top10" dxfId="35" priority="10" rank="5"/>
  </conditionalFormatting>
  <conditionalFormatting sqref="AD1:AD1048576">
    <cfRule type="top10" dxfId="34" priority="3" rank="1"/>
    <cfRule type="top10" dxfId="33" priority="4" rank="5"/>
  </conditionalFormatting>
  <conditionalFormatting sqref="AE1:AF3 AE4 AE5:AF1048576">
    <cfRule type="top10" dxfId="32" priority="5" rank="1"/>
    <cfRule type="top10" dxfId="31" priority="6" rank="5"/>
  </conditionalFormatting>
  <conditionalFormatting sqref="AF5:AF52">
    <cfRule type="top10" dxfId="30" priority="1" rank="1"/>
    <cfRule type="top10" dxfId="29" priority="2" rank="3"/>
  </conditionalFormatting>
  <conditionalFormatting sqref="AG3:AG1048576">
    <cfRule type="top10" dxfId="28" priority="7" rank="1"/>
    <cfRule type="top10" dxfId="27" priority="8" rank="5"/>
  </conditionalFormatting>
  <pageMargins left="0.511811024" right="0.511811024" top="0.78740157499999996" bottom="0.78740157499999996" header="0.31496062000000002" footer="0.31496062000000002"/>
  <pageSetup paperSize="9" scale="40" orientation="landscape" horizontalDpi="4294967292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7D9EB3-F547-41D6-AD0B-6403B5044D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AB5:AB52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FD51-D03E-4A27-9C21-6DB7B0BB802D}">
  <dimension ref="A1:AR57"/>
  <sheetViews>
    <sheetView showGridLines="0" topLeftCell="G1" zoomScale="80" zoomScaleNormal="80" workbookViewId="0">
      <pane ySplit="4" topLeftCell="A14" activePane="bottomLeft" state="frozen"/>
      <selection activeCell="B47" sqref="B47"/>
      <selection pane="bottomLeft" activeCell="B47" sqref="B47"/>
    </sheetView>
  </sheetViews>
  <sheetFormatPr defaultRowHeight="15" x14ac:dyDescent="0.25"/>
  <cols>
    <col min="1" max="1" width="7.140625" customWidth="1"/>
    <col min="2" max="2" width="28.42578125" style="6" customWidth="1"/>
    <col min="3" max="3" width="9.140625" customWidth="1"/>
    <col min="6" max="7" width="9.140625" style="5"/>
    <col min="11" max="12" width="9.140625" style="5"/>
    <col min="16" max="17" width="9.140625" style="5"/>
    <col min="21" max="22" width="9.140625" style="5"/>
    <col min="23" max="23" width="9.140625" style="54"/>
    <col min="24" max="25" width="9.140625" style="120"/>
    <col min="26" max="27" width="9.140625" style="54"/>
    <col min="28" max="28" width="14.7109375" customWidth="1"/>
    <col min="29" max="29" width="14.5703125" style="2" customWidth="1"/>
    <col min="30" max="30" width="13.85546875" style="2" customWidth="1"/>
    <col min="31" max="31" width="6.140625" style="2" customWidth="1"/>
    <col min="32" max="32" width="13.5703125" style="5" customWidth="1"/>
    <col min="33" max="33" width="13.85546875" customWidth="1"/>
  </cols>
  <sheetData>
    <row r="1" spans="1:33" ht="15" customHeight="1" x14ac:dyDescent="0.25">
      <c r="B1" s="271" t="s">
        <v>42</v>
      </c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  <c r="AE1" s="272"/>
      <c r="AF1" s="272"/>
      <c r="AG1" s="273"/>
    </row>
    <row r="2" spans="1:33" ht="15" customHeight="1" thickBot="1" x14ac:dyDescent="0.3">
      <c r="A2" s="1"/>
      <c r="B2" s="274"/>
      <c r="C2" s="298"/>
      <c r="D2" s="298"/>
      <c r="E2" s="298"/>
      <c r="F2" s="298"/>
      <c r="G2" s="298"/>
      <c r="H2" s="298"/>
      <c r="I2" s="298"/>
      <c r="J2" s="298"/>
      <c r="K2" s="298"/>
      <c r="L2" s="298"/>
      <c r="M2" s="298"/>
      <c r="N2" s="298"/>
      <c r="O2" s="298"/>
      <c r="P2" s="298"/>
      <c r="Q2" s="298"/>
      <c r="R2" s="298"/>
      <c r="S2" s="298"/>
      <c r="T2" s="298"/>
      <c r="U2" s="298"/>
      <c r="V2" s="298"/>
      <c r="W2" s="298"/>
      <c r="X2" s="298"/>
      <c r="Y2" s="298"/>
      <c r="Z2" s="298"/>
      <c r="AA2" s="298"/>
      <c r="AB2" s="275"/>
      <c r="AC2" s="275"/>
      <c r="AD2" s="275"/>
      <c r="AE2" s="275"/>
      <c r="AF2" s="275"/>
      <c r="AG2" s="276"/>
    </row>
    <row r="3" spans="1:33" x14ac:dyDescent="0.25">
      <c r="B3" s="310" t="s">
        <v>0</v>
      </c>
      <c r="C3" s="303">
        <v>45839</v>
      </c>
      <c r="D3" s="304"/>
      <c r="E3" s="304"/>
      <c r="F3" s="304"/>
      <c r="G3" s="304"/>
      <c r="H3" s="319">
        <f>C3+7</f>
        <v>45846</v>
      </c>
      <c r="I3" s="320"/>
      <c r="J3" s="320"/>
      <c r="K3" s="320"/>
      <c r="L3" s="321"/>
      <c r="M3" s="322">
        <f>H3+7</f>
        <v>45853</v>
      </c>
      <c r="N3" s="322"/>
      <c r="O3" s="322"/>
      <c r="P3" s="322"/>
      <c r="Q3" s="322"/>
      <c r="R3" s="323">
        <f>M3+7</f>
        <v>45860</v>
      </c>
      <c r="S3" s="324"/>
      <c r="T3" s="324"/>
      <c r="U3" s="324"/>
      <c r="V3" s="325"/>
      <c r="W3" s="326">
        <f>R3+7</f>
        <v>45867</v>
      </c>
      <c r="X3" s="326"/>
      <c r="Y3" s="326"/>
      <c r="Z3" s="326"/>
      <c r="AA3" s="327"/>
      <c r="AB3" s="279" t="s">
        <v>45</v>
      </c>
      <c r="AC3" s="281" t="s">
        <v>46</v>
      </c>
      <c r="AD3" s="281" t="s">
        <v>47</v>
      </c>
      <c r="AE3" s="281" t="s">
        <v>72</v>
      </c>
      <c r="AF3" s="299" t="s">
        <v>48</v>
      </c>
      <c r="AG3" s="277" t="s">
        <v>70</v>
      </c>
    </row>
    <row r="4" spans="1:33" ht="15.75" thickBot="1" x14ac:dyDescent="0.3">
      <c r="B4" s="314"/>
      <c r="C4" s="191" t="s">
        <v>49</v>
      </c>
      <c r="D4" s="192" t="s">
        <v>43</v>
      </c>
      <c r="E4" s="192" t="s">
        <v>2</v>
      </c>
      <c r="F4" s="193" t="s">
        <v>40</v>
      </c>
      <c r="G4" s="239" t="s">
        <v>75</v>
      </c>
      <c r="H4" s="195" t="s">
        <v>49</v>
      </c>
      <c r="I4" s="196" t="s">
        <v>43</v>
      </c>
      <c r="J4" s="196" t="s">
        <v>2</v>
      </c>
      <c r="K4" s="197" t="s">
        <v>40</v>
      </c>
      <c r="L4" s="198" t="s">
        <v>75</v>
      </c>
      <c r="M4" s="214" t="s">
        <v>49</v>
      </c>
      <c r="N4" s="199" t="s">
        <v>44</v>
      </c>
      <c r="O4" s="199" t="s">
        <v>2</v>
      </c>
      <c r="P4" s="200" t="s">
        <v>40</v>
      </c>
      <c r="Q4" s="215" t="s">
        <v>75</v>
      </c>
      <c r="R4" s="202" t="s">
        <v>49</v>
      </c>
      <c r="S4" s="203" t="s">
        <v>43</v>
      </c>
      <c r="T4" s="203" t="s">
        <v>2</v>
      </c>
      <c r="U4" s="204" t="s">
        <v>40</v>
      </c>
      <c r="V4" s="205" t="s">
        <v>75</v>
      </c>
      <c r="W4" s="258" t="s">
        <v>49</v>
      </c>
      <c r="X4" s="206" t="s">
        <v>43</v>
      </c>
      <c r="Y4" s="206" t="s">
        <v>2</v>
      </c>
      <c r="Z4" s="207" t="s">
        <v>40</v>
      </c>
      <c r="AA4" s="208" t="s">
        <v>75</v>
      </c>
      <c r="AB4" s="315"/>
      <c r="AC4" s="316"/>
      <c r="AD4" s="316"/>
      <c r="AE4" s="316"/>
      <c r="AF4" s="317"/>
      <c r="AG4" s="318"/>
    </row>
    <row r="5" spans="1:33" x14ac:dyDescent="0.25">
      <c r="B5" s="236" t="s">
        <v>3</v>
      </c>
      <c r="C5" s="165"/>
      <c r="D5" s="186"/>
      <c r="E5" s="186"/>
      <c r="F5" s="224"/>
      <c r="G5" s="190"/>
      <c r="H5" s="165"/>
      <c r="I5" s="186"/>
      <c r="J5" s="186"/>
      <c r="K5" s="224"/>
      <c r="L5" s="188"/>
      <c r="M5" s="235"/>
      <c r="N5" s="186"/>
      <c r="O5" s="186"/>
      <c r="P5" s="224"/>
      <c r="Q5" s="190"/>
      <c r="R5" s="165"/>
      <c r="S5" s="186"/>
      <c r="T5" s="186"/>
      <c r="U5" s="224"/>
      <c r="V5" s="188"/>
      <c r="W5" s="260"/>
      <c r="X5" s="187"/>
      <c r="Y5" s="187"/>
      <c r="Z5" s="224"/>
      <c r="AA5" s="188"/>
      <c r="AB5" s="15">
        <f>COUNTIF(C5:Z5,"P")</f>
        <v>0</v>
      </c>
      <c r="AC5" s="17">
        <f t="shared" ref="AC5:AC46" si="0">SUM(D5,I5,N5,S5,X5)</f>
        <v>0</v>
      </c>
      <c r="AD5" s="17">
        <f t="shared" ref="AD5:AD46" si="1">SUM(E5,J5,O5,T5,Y5)</f>
        <v>0</v>
      </c>
      <c r="AE5" s="17">
        <f>SUM(AC5+AD5)</f>
        <v>0</v>
      </c>
      <c r="AF5" s="19" t="str">
        <f>IFERROR(AVERAGE(F5,K5,P5,U5,Z5),"-")</f>
        <v>-</v>
      </c>
      <c r="AG5" s="19" t="str">
        <f>IFERROR(((AC5*#REF!)+(AD5*#REF!)+(AF5*#REF!))/SUM(#REF!),"")</f>
        <v/>
      </c>
    </row>
    <row r="6" spans="1:33" x14ac:dyDescent="0.25">
      <c r="B6" s="236" t="s">
        <v>4</v>
      </c>
      <c r="C6" s="9"/>
      <c r="D6" s="159"/>
      <c r="E6" s="159"/>
      <c r="F6" s="4"/>
      <c r="G6" s="37"/>
      <c r="H6" s="9"/>
      <c r="I6" s="159"/>
      <c r="J6" s="159"/>
      <c r="K6" s="4"/>
      <c r="L6" s="10"/>
      <c r="M6" s="23"/>
      <c r="N6" s="159"/>
      <c r="O6" s="159"/>
      <c r="P6" s="4"/>
      <c r="Q6" s="37"/>
      <c r="R6" s="9"/>
      <c r="S6" s="159"/>
      <c r="T6" s="159"/>
      <c r="U6" s="4"/>
      <c r="V6" s="10"/>
      <c r="W6" s="259"/>
      <c r="X6" s="3"/>
      <c r="Y6" s="3"/>
      <c r="Z6" s="4"/>
      <c r="AA6" s="10"/>
      <c r="AB6" s="15">
        <f t="shared" ref="AB6:AB48" si="2">COUNTIF(C6:Z6,"P")</f>
        <v>0</v>
      </c>
      <c r="AC6" s="17">
        <f t="shared" si="0"/>
        <v>0</v>
      </c>
      <c r="AD6" s="17">
        <f t="shared" si="1"/>
        <v>0</v>
      </c>
      <c r="AE6" s="17">
        <f t="shared" ref="AE6:AE48" si="3">SUM(AC6+AD6)</f>
        <v>0</v>
      </c>
      <c r="AF6" s="19" t="str">
        <f t="shared" ref="AF6:AF48" si="4">IFERROR(AVERAGE(F6,K6,P6,U6,Z6),"-")</f>
        <v>-</v>
      </c>
      <c r="AG6" s="19" t="str">
        <f>IFERROR(((AC6*#REF!)+(AD6*#REF!)+(AF6*#REF!))/SUM(#REF!),"")</f>
        <v/>
      </c>
    </row>
    <row r="7" spans="1:33" x14ac:dyDescent="0.25">
      <c r="B7" s="236" t="s">
        <v>5</v>
      </c>
      <c r="C7" s="9"/>
      <c r="D7" s="159"/>
      <c r="E7" s="159"/>
      <c r="F7" s="4"/>
      <c r="G7" s="37"/>
      <c r="H7" s="9"/>
      <c r="I7" s="159"/>
      <c r="J7" s="159"/>
      <c r="K7" s="4"/>
      <c r="L7" s="10"/>
      <c r="M7" s="23"/>
      <c r="N7" s="159"/>
      <c r="O7" s="159"/>
      <c r="P7" s="4"/>
      <c r="Q7" s="37"/>
      <c r="R7" s="9"/>
      <c r="S7" s="159"/>
      <c r="T7" s="159"/>
      <c r="U7" s="4"/>
      <c r="V7" s="10"/>
      <c r="W7" s="259"/>
      <c r="X7" s="3"/>
      <c r="Y7" s="3"/>
      <c r="Z7" s="4"/>
      <c r="AA7" s="10"/>
      <c r="AB7" s="15">
        <f t="shared" si="2"/>
        <v>0</v>
      </c>
      <c r="AC7" s="17">
        <f t="shared" si="0"/>
        <v>0</v>
      </c>
      <c r="AD7" s="17">
        <f t="shared" si="1"/>
        <v>0</v>
      </c>
      <c r="AE7" s="17">
        <f t="shared" si="3"/>
        <v>0</v>
      </c>
      <c r="AF7" s="19" t="str">
        <f t="shared" si="4"/>
        <v>-</v>
      </c>
      <c r="AG7" s="19" t="str">
        <f>IFERROR(((AC7*#REF!)+(AD7*#REF!)+(AF7*#REF!))/SUM(#REF!),"")</f>
        <v/>
      </c>
    </row>
    <row r="8" spans="1:33" x14ac:dyDescent="0.25">
      <c r="B8" s="236" t="s">
        <v>74</v>
      </c>
      <c r="C8" s="9"/>
      <c r="D8" s="159"/>
      <c r="E8" s="159"/>
      <c r="F8" s="4"/>
      <c r="G8" s="37"/>
      <c r="H8" s="9"/>
      <c r="I8" s="159"/>
      <c r="J8" s="159"/>
      <c r="K8" s="4"/>
      <c r="L8" s="10"/>
      <c r="M8" s="23"/>
      <c r="N8" s="159"/>
      <c r="O8" s="159"/>
      <c r="P8" s="4"/>
      <c r="Q8" s="37"/>
      <c r="R8" s="117"/>
      <c r="S8" s="159"/>
      <c r="T8" s="159"/>
      <c r="U8" s="4"/>
      <c r="V8" s="10"/>
      <c r="W8" s="259"/>
      <c r="X8" s="3"/>
      <c r="Y8" s="3"/>
      <c r="Z8" s="4"/>
      <c r="AA8" s="10"/>
      <c r="AB8" s="15">
        <f t="shared" si="2"/>
        <v>0</v>
      </c>
      <c r="AC8" s="17">
        <f t="shared" si="0"/>
        <v>0</v>
      </c>
      <c r="AD8" s="17">
        <f t="shared" si="1"/>
        <v>0</v>
      </c>
      <c r="AE8" s="17">
        <f t="shared" si="3"/>
        <v>0</v>
      </c>
      <c r="AF8" s="19" t="str">
        <f t="shared" si="4"/>
        <v>-</v>
      </c>
      <c r="AG8" s="19" t="str">
        <f>IFERROR(((AC8*#REF!)+(AD8*#REF!)+(AF8*#REF!))/SUM(#REF!),"")</f>
        <v/>
      </c>
    </row>
    <row r="9" spans="1:33" x14ac:dyDescent="0.25">
      <c r="B9" s="236" t="s">
        <v>6</v>
      </c>
      <c r="C9" s="9"/>
      <c r="D9" s="159"/>
      <c r="E9" s="159"/>
      <c r="F9" s="4"/>
      <c r="G9" s="37"/>
      <c r="H9" s="9"/>
      <c r="I9" s="159"/>
      <c r="J9" s="159"/>
      <c r="K9" s="4"/>
      <c r="L9" s="10"/>
      <c r="M9" s="23"/>
      <c r="N9" s="159"/>
      <c r="O9" s="159"/>
      <c r="P9" s="4"/>
      <c r="Q9" s="37"/>
      <c r="R9" s="117"/>
      <c r="S9" s="159"/>
      <c r="T9" s="159"/>
      <c r="U9" s="4"/>
      <c r="V9" s="10"/>
      <c r="W9" s="259"/>
      <c r="X9" s="3"/>
      <c r="Y9" s="3"/>
      <c r="Z9" s="4"/>
      <c r="AA9" s="10"/>
      <c r="AB9" s="15">
        <f t="shared" si="2"/>
        <v>0</v>
      </c>
      <c r="AC9" s="17">
        <f t="shared" si="0"/>
        <v>0</v>
      </c>
      <c r="AD9" s="17">
        <f t="shared" si="1"/>
        <v>0</v>
      </c>
      <c r="AE9" s="17">
        <f t="shared" si="3"/>
        <v>0</v>
      </c>
      <c r="AF9" s="19" t="str">
        <f t="shared" si="4"/>
        <v>-</v>
      </c>
      <c r="AG9" s="19" t="str">
        <f>IFERROR(((AC9*#REF!)+(AD9*#REF!)+(AF9*#REF!))/SUM(#REF!),"")</f>
        <v/>
      </c>
    </row>
    <row r="10" spans="1:33" x14ac:dyDescent="0.25">
      <c r="B10" s="236" t="s">
        <v>7</v>
      </c>
      <c r="C10" s="9"/>
      <c r="D10" s="159"/>
      <c r="E10" s="159"/>
      <c r="F10" s="4"/>
      <c r="G10" s="37"/>
      <c r="H10" s="9"/>
      <c r="I10" s="159"/>
      <c r="J10" s="159"/>
      <c r="K10" s="4"/>
      <c r="L10" s="10"/>
      <c r="M10" s="23"/>
      <c r="N10" s="159"/>
      <c r="O10" s="159"/>
      <c r="P10" s="4"/>
      <c r="Q10" s="37"/>
      <c r="R10" s="9"/>
      <c r="S10" s="159"/>
      <c r="T10" s="159"/>
      <c r="U10" s="4"/>
      <c r="V10" s="10"/>
      <c r="W10" s="259"/>
      <c r="X10" s="3"/>
      <c r="Y10" s="3"/>
      <c r="Z10" s="4"/>
      <c r="AA10" s="10"/>
      <c r="AB10" s="15">
        <f t="shared" si="2"/>
        <v>0</v>
      </c>
      <c r="AC10" s="17">
        <f t="shared" si="0"/>
        <v>0</v>
      </c>
      <c r="AD10" s="17">
        <f t="shared" si="1"/>
        <v>0</v>
      </c>
      <c r="AE10" s="17">
        <f t="shared" si="3"/>
        <v>0</v>
      </c>
      <c r="AF10" s="19" t="str">
        <f t="shared" si="4"/>
        <v>-</v>
      </c>
      <c r="AG10" s="19" t="str">
        <f>IFERROR(((AC10*#REF!)+(AD10*#REF!)+(AF10*#REF!))/SUM(#REF!),"")</f>
        <v/>
      </c>
    </row>
    <row r="11" spans="1:33" x14ac:dyDescent="0.25">
      <c r="B11" s="236" t="s">
        <v>8</v>
      </c>
      <c r="C11" s="9"/>
      <c r="D11" s="159"/>
      <c r="E11" s="159"/>
      <c r="F11" s="4"/>
      <c r="G11" s="37"/>
      <c r="H11" s="9"/>
      <c r="I11" s="159"/>
      <c r="J11" s="159"/>
      <c r="K11" s="4"/>
      <c r="L11" s="10"/>
      <c r="M11" s="23"/>
      <c r="N11" s="159"/>
      <c r="O11" s="159"/>
      <c r="P11" s="4"/>
      <c r="Q11" s="37"/>
      <c r="R11" s="9"/>
      <c r="S11" s="159"/>
      <c r="T11" s="159"/>
      <c r="U11" s="4"/>
      <c r="V11" s="10"/>
      <c r="W11" s="259"/>
      <c r="X11" s="3"/>
      <c r="Y11" s="3"/>
      <c r="Z11" s="4"/>
      <c r="AA11" s="10"/>
      <c r="AB11" s="15">
        <f t="shared" si="2"/>
        <v>0</v>
      </c>
      <c r="AC11" s="17">
        <f t="shared" si="0"/>
        <v>0</v>
      </c>
      <c r="AD11" s="17">
        <f t="shared" si="1"/>
        <v>0</v>
      </c>
      <c r="AE11" s="17">
        <f t="shared" si="3"/>
        <v>0</v>
      </c>
      <c r="AF11" s="19" t="str">
        <f t="shared" si="4"/>
        <v>-</v>
      </c>
      <c r="AG11" s="19" t="str">
        <f>IFERROR(((AC11*#REF!)+(AD11*#REF!)+(AF11*#REF!))/SUM(#REF!),"")</f>
        <v/>
      </c>
    </row>
    <row r="12" spans="1:33" x14ac:dyDescent="0.25">
      <c r="B12" s="236" t="s">
        <v>9</v>
      </c>
      <c r="C12" s="9"/>
      <c r="D12" s="159"/>
      <c r="E12" s="159"/>
      <c r="F12" s="4"/>
      <c r="G12" s="37"/>
      <c r="H12" s="9"/>
      <c r="I12" s="159"/>
      <c r="J12" s="159"/>
      <c r="K12" s="4"/>
      <c r="L12" s="10"/>
      <c r="M12" s="23"/>
      <c r="N12" s="159"/>
      <c r="O12" s="159"/>
      <c r="P12" s="4"/>
      <c r="Q12" s="37"/>
      <c r="R12" s="9"/>
      <c r="S12" s="159"/>
      <c r="T12" s="159"/>
      <c r="U12" s="4"/>
      <c r="V12" s="10"/>
      <c r="W12" s="259"/>
      <c r="X12" s="3"/>
      <c r="Y12" s="3"/>
      <c r="Z12" s="4"/>
      <c r="AA12" s="10"/>
      <c r="AB12" s="15">
        <f t="shared" si="2"/>
        <v>0</v>
      </c>
      <c r="AC12" s="17">
        <f t="shared" si="0"/>
        <v>0</v>
      </c>
      <c r="AD12" s="17">
        <f t="shared" si="1"/>
        <v>0</v>
      </c>
      <c r="AE12" s="17">
        <f t="shared" si="3"/>
        <v>0</v>
      </c>
      <c r="AF12" s="19" t="str">
        <f t="shared" si="4"/>
        <v>-</v>
      </c>
      <c r="AG12" s="19" t="str">
        <f>IFERROR(((AC12*#REF!)+(AD12*#REF!)+(AF12*#REF!))/SUM(#REF!),"")</f>
        <v/>
      </c>
    </row>
    <row r="13" spans="1:33" x14ac:dyDescent="0.25">
      <c r="B13" s="236" t="s">
        <v>10</v>
      </c>
      <c r="C13" s="9"/>
      <c r="D13" s="159"/>
      <c r="E13" s="159"/>
      <c r="F13" s="4"/>
      <c r="G13" s="37"/>
      <c r="H13" s="9"/>
      <c r="I13" s="159"/>
      <c r="J13" s="159"/>
      <c r="K13" s="4"/>
      <c r="L13" s="10"/>
      <c r="M13" s="23"/>
      <c r="N13" s="159"/>
      <c r="O13" s="159"/>
      <c r="P13" s="4"/>
      <c r="Q13" s="37"/>
      <c r="R13" s="9"/>
      <c r="S13" s="159"/>
      <c r="T13" s="159"/>
      <c r="U13" s="4"/>
      <c r="V13" s="10"/>
      <c r="W13" s="259"/>
      <c r="X13" s="3"/>
      <c r="Y13" s="3"/>
      <c r="Z13" s="4"/>
      <c r="AA13" s="10"/>
      <c r="AB13" s="15">
        <f t="shared" si="2"/>
        <v>0</v>
      </c>
      <c r="AC13" s="17">
        <f t="shared" si="0"/>
        <v>0</v>
      </c>
      <c r="AD13" s="17">
        <f t="shared" si="1"/>
        <v>0</v>
      </c>
      <c r="AE13" s="17">
        <f t="shared" si="3"/>
        <v>0</v>
      </c>
      <c r="AF13" s="19" t="str">
        <f t="shared" si="4"/>
        <v>-</v>
      </c>
      <c r="AG13" s="19" t="str">
        <f>IFERROR(((AC13*#REF!)+(AD13*#REF!)+(AF13*#REF!))/SUM(#REF!),"")</f>
        <v/>
      </c>
    </row>
    <row r="14" spans="1:33" x14ac:dyDescent="0.25">
      <c r="B14" s="236" t="s">
        <v>11</v>
      </c>
      <c r="C14" s="9"/>
      <c r="D14" s="159"/>
      <c r="E14" s="159"/>
      <c r="F14" s="4"/>
      <c r="G14" s="37"/>
      <c r="H14" s="9"/>
      <c r="I14" s="159"/>
      <c r="J14" s="159"/>
      <c r="K14" s="4"/>
      <c r="L14" s="10"/>
      <c r="M14" s="23"/>
      <c r="N14" s="159"/>
      <c r="O14" s="159"/>
      <c r="P14" s="4"/>
      <c r="Q14" s="37"/>
      <c r="R14" s="9"/>
      <c r="S14" s="159"/>
      <c r="T14" s="159"/>
      <c r="U14" s="4"/>
      <c r="V14" s="10"/>
      <c r="W14" s="259"/>
      <c r="X14" s="3"/>
      <c r="Y14" s="3"/>
      <c r="Z14" s="4"/>
      <c r="AA14" s="10"/>
      <c r="AB14" s="15">
        <f t="shared" si="2"/>
        <v>0</v>
      </c>
      <c r="AC14" s="17">
        <f t="shared" si="0"/>
        <v>0</v>
      </c>
      <c r="AD14" s="17">
        <f t="shared" si="1"/>
        <v>0</v>
      </c>
      <c r="AE14" s="17">
        <f t="shared" si="3"/>
        <v>0</v>
      </c>
      <c r="AF14" s="19" t="str">
        <f t="shared" si="4"/>
        <v>-</v>
      </c>
      <c r="AG14" s="19" t="str">
        <f>IFERROR(((AC14*#REF!)+(AD14*#REF!)+(AF14*#REF!))/SUM(#REF!),"")</f>
        <v/>
      </c>
    </row>
    <row r="15" spans="1:33" x14ac:dyDescent="0.25">
      <c r="B15" s="237" t="s">
        <v>83</v>
      </c>
      <c r="C15" s="9"/>
      <c r="D15" s="159"/>
      <c r="E15" s="159"/>
      <c r="F15" s="4"/>
      <c r="G15" s="37"/>
      <c r="H15" s="9"/>
      <c r="I15" s="159"/>
      <c r="J15" s="159"/>
      <c r="K15" s="4"/>
      <c r="L15" s="10"/>
      <c r="M15" s="23"/>
      <c r="N15" s="159"/>
      <c r="O15" s="159"/>
      <c r="P15" s="4"/>
      <c r="Q15" s="37"/>
      <c r="R15" s="9"/>
      <c r="S15" s="159"/>
      <c r="T15" s="159"/>
      <c r="U15" s="4"/>
      <c r="V15" s="10"/>
      <c r="W15" s="259"/>
      <c r="X15" s="3"/>
      <c r="Y15" s="3"/>
      <c r="Z15" s="4"/>
      <c r="AA15" s="10"/>
      <c r="AB15" s="15">
        <f t="shared" si="2"/>
        <v>0</v>
      </c>
      <c r="AC15" s="17">
        <f t="shared" si="0"/>
        <v>0</v>
      </c>
      <c r="AD15" s="17">
        <f t="shared" si="1"/>
        <v>0</v>
      </c>
      <c r="AE15" s="17">
        <f t="shared" si="3"/>
        <v>0</v>
      </c>
      <c r="AF15" s="19" t="str">
        <f t="shared" si="4"/>
        <v>-</v>
      </c>
      <c r="AG15" s="19" t="str">
        <f>IFERROR(((AC15*#REF!)+(AD15*#REF!)+(AF15*#REF!))/SUM(#REF!),"")</f>
        <v/>
      </c>
    </row>
    <row r="16" spans="1:33" x14ac:dyDescent="0.25">
      <c r="B16" s="236" t="s">
        <v>12</v>
      </c>
      <c r="C16" s="9"/>
      <c r="D16" s="159"/>
      <c r="E16" s="159"/>
      <c r="F16" s="4"/>
      <c r="G16" s="37"/>
      <c r="H16" s="9"/>
      <c r="I16" s="159"/>
      <c r="J16" s="159"/>
      <c r="K16" s="4"/>
      <c r="L16" s="10"/>
      <c r="M16" s="23"/>
      <c r="N16" s="159"/>
      <c r="O16" s="159"/>
      <c r="P16" s="4"/>
      <c r="Q16" s="37"/>
      <c r="R16" s="9"/>
      <c r="S16" s="159"/>
      <c r="T16" s="159"/>
      <c r="U16" s="4"/>
      <c r="V16" s="10"/>
      <c r="W16" s="259"/>
      <c r="X16" s="3"/>
      <c r="Y16" s="3"/>
      <c r="Z16" s="4"/>
      <c r="AA16" s="10"/>
      <c r="AB16" s="15">
        <f t="shared" si="2"/>
        <v>0</v>
      </c>
      <c r="AC16" s="17">
        <f t="shared" si="0"/>
        <v>0</v>
      </c>
      <c r="AD16" s="17">
        <f t="shared" si="1"/>
        <v>0</v>
      </c>
      <c r="AE16" s="17">
        <f t="shared" si="3"/>
        <v>0</v>
      </c>
      <c r="AF16" s="19" t="str">
        <f t="shared" si="4"/>
        <v>-</v>
      </c>
      <c r="AG16" s="19" t="str">
        <f>IFERROR(((AC16*#REF!)+(AD16*#REF!)+(AF16*#REF!))/SUM(#REF!),"")</f>
        <v/>
      </c>
    </row>
    <row r="17" spans="2:33" x14ac:dyDescent="0.25">
      <c r="B17" s="236" t="s">
        <v>56</v>
      </c>
      <c r="C17" s="9"/>
      <c r="D17" s="159"/>
      <c r="E17" s="159"/>
      <c r="F17" s="4"/>
      <c r="G17" s="37"/>
      <c r="H17" s="9"/>
      <c r="I17" s="159"/>
      <c r="J17" s="159"/>
      <c r="K17" s="4"/>
      <c r="L17" s="10"/>
      <c r="M17" s="23"/>
      <c r="N17" s="159"/>
      <c r="O17" s="159"/>
      <c r="P17" s="4"/>
      <c r="Q17" s="37"/>
      <c r="R17" s="9"/>
      <c r="S17" s="159"/>
      <c r="T17" s="159"/>
      <c r="U17" s="4"/>
      <c r="V17" s="10"/>
      <c r="W17" s="259"/>
      <c r="X17" s="3"/>
      <c r="Y17" s="3"/>
      <c r="Z17" s="4"/>
      <c r="AA17" s="10"/>
      <c r="AB17" s="15">
        <f t="shared" si="2"/>
        <v>0</v>
      </c>
      <c r="AC17" s="17">
        <f t="shared" si="0"/>
        <v>0</v>
      </c>
      <c r="AD17" s="17">
        <f t="shared" si="1"/>
        <v>0</v>
      </c>
      <c r="AE17" s="17">
        <f t="shared" si="3"/>
        <v>0</v>
      </c>
      <c r="AF17" s="19" t="str">
        <f t="shared" si="4"/>
        <v>-</v>
      </c>
      <c r="AG17" s="19" t="str">
        <f>IFERROR(((AC17*#REF!)+(AD17*#REF!)+(AF17*#REF!))/SUM(#REF!),"")</f>
        <v/>
      </c>
    </row>
    <row r="18" spans="2:33" x14ac:dyDescent="0.25">
      <c r="B18" s="236" t="s">
        <v>13</v>
      </c>
      <c r="C18" s="9"/>
      <c r="D18" s="159"/>
      <c r="E18" s="159"/>
      <c r="F18" s="4"/>
      <c r="G18" s="37"/>
      <c r="H18" s="9"/>
      <c r="I18" s="159"/>
      <c r="J18" s="159"/>
      <c r="K18" s="4"/>
      <c r="L18" s="10"/>
      <c r="M18" s="23"/>
      <c r="N18" s="159"/>
      <c r="O18" s="159"/>
      <c r="P18" s="4"/>
      <c r="Q18" s="37"/>
      <c r="R18" s="9"/>
      <c r="S18" s="159"/>
      <c r="T18" s="159"/>
      <c r="U18" s="4"/>
      <c r="V18" s="10"/>
      <c r="W18" s="259"/>
      <c r="X18" s="3"/>
      <c r="Y18" s="3"/>
      <c r="Z18" s="4"/>
      <c r="AA18" s="10"/>
      <c r="AB18" s="15">
        <f t="shared" si="2"/>
        <v>0</v>
      </c>
      <c r="AC18" s="17">
        <f t="shared" si="0"/>
        <v>0</v>
      </c>
      <c r="AD18" s="17">
        <f t="shared" si="1"/>
        <v>0</v>
      </c>
      <c r="AE18" s="17">
        <f t="shared" si="3"/>
        <v>0</v>
      </c>
      <c r="AF18" s="19" t="str">
        <f t="shared" si="4"/>
        <v>-</v>
      </c>
      <c r="AG18" s="19" t="str">
        <f>IFERROR(((AC18*#REF!)+(AD18*#REF!)+(AF18*#REF!))/SUM(#REF!),"")</f>
        <v/>
      </c>
    </row>
    <row r="19" spans="2:33" x14ac:dyDescent="0.25">
      <c r="B19" s="236" t="s">
        <v>14</v>
      </c>
      <c r="C19" s="9"/>
      <c r="D19" s="159"/>
      <c r="E19" s="159"/>
      <c r="F19" s="4"/>
      <c r="G19" s="37"/>
      <c r="H19" s="9"/>
      <c r="I19" s="159"/>
      <c r="J19" s="159"/>
      <c r="K19" s="4"/>
      <c r="L19" s="10"/>
      <c r="M19" s="23"/>
      <c r="N19" s="159"/>
      <c r="O19" s="159"/>
      <c r="P19" s="4"/>
      <c r="Q19" s="37"/>
      <c r="R19" s="9"/>
      <c r="S19" s="159"/>
      <c r="T19" s="159"/>
      <c r="U19" s="4"/>
      <c r="V19" s="10"/>
      <c r="W19" s="259"/>
      <c r="X19" s="3"/>
      <c r="Y19" s="3"/>
      <c r="Z19" s="4"/>
      <c r="AA19" s="10"/>
      <c r="AB19" s="15">
        <f t="shared" si="2"/>
        <v>0</v>
      </c>
      <c r="AC19" s="17">
        <f t="shared" si="0"/>
        <v>0</v>
      </c>
      <c r="AD19" s="17">
        <f t="shared" si="1"/>
        <v>0</v>
      </c>
      <c r="AE19" s="17">
        <f t="shared" si="3"/>
        <v>0</v>
      </c>
      <c r="AF19" s="19" t="str">
        <f t="shared" si="4"/>
        <v>-</v>
      </c>
      <c r="AG19" s="19" t="str">
        <f>IFERROR(((AC19*#REF!)+(AD19*#REF!)+(AF19*#REF!))/SUM(#REF!),"")</f>
        <v/>
      </c>
    </row>
    <row r="20" spans="2:33" x14ac:dyDescent="0.25">
      <c r="B20" s="237" t="s">
        <v>86</v>
      </c>
      <c r="C20" s="9"/>
      <c r="D20" s="159"/>
      <c r="E20" s="159"/>
      <c r="F20" s="4"/>
      <c r="G20" s="37"/>
      <c r="H20" s="9"/>
      <c r="I20" s="159"/>
      <c r="J20" s="159"/>
      <c r="K20" s="4"/>
      <c r="L20" s="10"/>
      <c r="M20" s="23"/>
      <c r="N20" s="159"/>
      <c r="O20" s="159"/>
      <c r="P20" s="4"/>
      <c r="Q20" s="37"/>
      <c r="R20" s="9"/>
      <c r="S20" s="159"/>
      <c r="T20" s="159"/>
      <c r="U20" s="4"/>
      <c r="V20" s="10"/>
      <c r="W20" s="259"/>
      <c r="X20" s="3"/>
      <c r="Y20" s="3"/>
      <c r="Z20" s="4"/>
      <c r="AA20" s="10"/>
      <c r="AB20" s="15">
        <f t="shared" si="2"/>
        <v>0</v>
      </c>
      <c r="AC20" s="17">
        <f t="shared" si="0"/>
        <v>0</v>
      </c>
      <c r="AD20" s="17">
        <f t="shared" si="1"/>
        <v>0</v>
      </c>
      <c r="AE20" s="17">
        <f t="shared" si="3"/>
        <v>0</v>
      </c>
      <c r="AF20" s="19" t="str">
        <f t="shared" si="4"/>
        <v>-</v>
      </c>
      <c r="AG20" s="19" t="str">
        <f>IFERROR(((AC20*#REF!)+(AD20*#REF!)+(AF20*#REF!))/SUM(#REF!),"")</f>
        <v/>
      </c>
    </row>
    <row r="21" spans="2:33" x14ac:dyDescent="0.25">
      <c r="B21" s="236" t="s">
        <v>15</v>
      </c>
      <c r="C21" s="9"/>
      <c r="D21" s="159"/>
      <c r="E21" s="159"/>
      <c r="F21" s="4"/>
      <c r="G21" s="37"/>
      <c r="H21" s="9"/>
      <c r="I21" s="159"/>
      <c r="J21" s="159"/>
      <c r="K21" s="4"/>
      <c r="L21" s="10"/>
      <c r="M21" s="23"/>
      <c r="N21" s="159"/>
      <c r="O21" s="159"/>
      <c r="P21" s="4"/>
      <c r="Q21" s="37"/>
      <c r="R21" s="9"/>
      <c r="S21" s="159"/>
      <c r="T21" s="159"/>
      <c r="U21" s="4"/>
      <c r="V21" s="10"/>
      <c r="W21" s="259"/>
      <c r="X21" s="3"/>
      <c r="Y21" s="3"/>
      <c r="Z21" s="4"/>
      <c r="AA21" s="10"/>
      <c r="AB21" s="15">
        <f t="shared" si="2"/>
        <v>0</v>
      </c>
      <c r="AC21" s="17">
        <f t="shared" si="0"/>
        <v>0</v>
      </c>
      <c r="AD21" s="17">
        <f t="shared" si="1"/>
        <v>0</v>
      </c>
      <c r="AE21" s="17">
        <f t="shared" si="3"/>
        <v>0</v>
      </c>
      <c r="AF21" s="19" t="str">
        <f t="shared" si="4"/>
        <v>-</v>
      </c>
      <c r="AG21" s="19" t="str">
        <f>IFERROR(((AC21*#REF!)+(AD21*#REF!)+(AF21*#REF!))/SUM(#REF!),"")</f>
        <v/>
      </c>
    </row>
    <row r="22" spans="2:33" x14ac:dyDescent="0.25">
      <c r="B22" s="236" t="s">
        <v>16</v>
      </c>
      <c r="C22" s="9"/>
      <c r="D22" s="159"/>
      <c r="E22" s="159"/>
      <c r="F22" s="4"/>
      <c r="G22" s="37"/>
      <c r="H22" s="9"/>
      <c r="I22" s="159"/>
      <c r="J22" s="159"/>
      <c r="K22" s="4"/>
      <c r="L22" s="10"/>
      <c r="M22" s="23"/>
      <c r="N22" s="159"/>
      <c r="O22" s="159"/>
      <c r="P22" s="4"/>
      <c r="Q22" s="37"/>
      <c r="R22" s="9"/>
      <c r="S22" s="159"/>
      <c r="T22" s="159"/>
      <c r="U22" s="4"/>
      <c r="V22" s="10"/>
      <c r="W22" s="259"/>
      <c r="X22" s="3"/>
      <c r="Y22" s="3"/>
      <c r="Z22" s="4"/>
      <c r="AA22" s="10"/>
      <c r="AB22" s="15">
        <f t="shared" si="2"/>
        <v>0</v>
      </c>
      <c r="AC22" s="17">
        <f t="shared" si="0"/>
        <v>0</v>
      </c>
      <c r="AD22" s="17">
        <f t="shared" si="1"/>
        <v>0</v>
      </c>
      <c r="AE22" s="17">
        <f t="shared" si="3"/>
        <v>0</v>
      </c>
      <c r="AF22" s="19" t="str">
        <f t="shared" si="4"/>
        <v>-</v>
      </c>
      <c r="AG22" s="19" t="str">
        <f>IFERROR(((AC22*#REF!)+(AD22*#REF!)+(AF22*#REF!))/SUM(#REF!),"")</f>
        <v/>
      </c>
    </row>
    <row r="23" spans="2:33" x14ac:dyDescent="0.25">
      <c r="B23" s="236" t="s">
        <v>17</v>
      </c>
      <c r="C23" s="9"/>
      <c r="D23" s="159"/>
      <c r="E23" s="159"/>
      <c r="F23" s="4"/>
      <c r="G23" s="37"/>
      <c r="H23" s="9"/>
      <c r="I23" s="159"/>
      <c r="J23" s="159"/>
      <c r="K23" s="4"/>
      <c r="L23" s="10"/>
      <c r="M23" s="23"/>
      <c r="N23" s="159"/>
      <c r="O23" s="159"/>
      <c r="P23" s="4"/>
      <c r="Q23" s="37"/>
      <c r="R23" s="9"/>
      <c r="S23" s="159"/>
      <c r="T23" s="159"/>
      <c r="U23" s="4"/>
      <c r="V23" s="10"/>
      <c r="W23" s="259"/>
      <c r="X23" s="3"/>
      <c r="Y23" s="3"/>
      <c r="Z23" s="4"/>
      <c r="AA23" s="10"/>
      <c r="AB23" s="15">
        <f t="shared" si="2"/>
        <v>0</v>
      </c>
      <c r="AC23" s="17">
        <f t="shared" si="0"/>
        <v>0</v>
      </c>
      <c r="AD23" s="17">
        <f t="shared" si="1"/>
        <v>0</v>
      </c>
      <c r="AE23" s="17">
        <f t="shared" si="3"/>
        <v>0</v>
      </c>
      <c r="AF23" s="19" t="str">
        <f t="shared" si="4"/>
        <v>-</v>
      </c>
      <c r="AG23" s="19" t="str">
        <f>IFERROR(((AC23*#REF!)+(AD23*#REF!)+(AF23*#REF!))/SUM(#REF!),"")</f>
        <v/>
      </c>
    </row>
    <row r="24" spans="2:33" x14ac:dyDescent="0.25">
      <c r="B24" s="236" t="s">
        <v>18</v>
      </c>
      <c r="C24" s="9"/>
      <c r="D24" s="159"/>
      <c r="E24" s="159"/>
      <c r="F24" s="4"/>
      <c r="G24" s="37"/>
      <c r="H24" s="9"/>
      <c r="I24" s="159"/>
      <c r="J24" s="159"/>
      <c r="K24" s="4"/>
      <c r="L24" s="10"/>
      <c r="M24" s="23"/>
      <c r="N24" s="159"/>
      <c r="O24" s="159"/>
      <c r="P24" s="4"/>
      <c r="Q24" s="37"/>
      <c r="R24" s="9"/>
      <c r="S24" s="159"/>
      <c r="T24" s="159"/>
      <c r="U24" s="4"/>
      <c r="V24" s="10"/>
      <c r="W24" s="259"/>
      <c r="X24" s="3"/>
      <c r="Y24" s="3"/>
      <c r="Z24" s="4"/>
      <c r="AA24" s="10"/>
      <c r="AB24" s="15">
        <f t="shared" si="2"/>
        <v>0</v>
      </c>
      <c r="AC24" s="17">
        <f t="shared" si="0"/>
        <v>0</v>
      </c>
      <c r="AD24" s="17">
        <f t="shared" si="1"/>
        <v>0</v>
      </c>
      <c r="AE24" s="17">
        <f t="shared" si="3"/>
        <v>0</v>
      </c>
      <c r="AF24" s="19" t="str">
        <f t="shared" si="4"/>
        <v>-</v>
      </c>
      <c r="AG24" s="19" t="str">
        <f>IFERROR(((AC24*#REF!)+(AD24*#REF!)+(AF24*#REF!))/SUM(#REF!),"")</f>
        <v/>
      </c>
    </row>
    <row r="25" spans="2:33" x14ac:dyDescent="0.25">
      <c r="B25" s="236" t="s">
        <v>19</v>
      </c>
      <c r="C25" s="9"/>
      <c r="D25" s="159"/>
      <c r="E25" s="159"/>
      <c r="F25" s="4"/>
      <c r="G25" s="37"/>
      <c r="H25" s="9"/>
      <c r="I25" s="159"/>
      <c r="J25" s="159"/>
      <c r="K25" s="4"/>
      <c r="L25" s="10"/>
      <c r="M25" s="23"/>
      <c r="N25" s="159"/>
      <c r="O25" s="159"/>
      <c r="P25" s="4"/>
      <c r="Q25" s="37"/>
      <c r="R25" s="9"/>
      <c r="S25" s="159"/>
      <c r="T25" s="159"/>
      <c r="U25" s="4"/>
      <c r="V25" s="10"/>
      <c r="W25" s="259"/>
      <c r="X25" s="3"/>
      <c r="Y25" s="3"/>
      <c r="Z25" s="4"/>
      <c r="AA25" s="10"/>
      <c r="AB25" s="15">
        <f t="shared" si="2"/>
        <v>0</v>
      </c>
      <c r="AC25" s="17">
        <f t="shared" si="0"/>
        <v>0</v>
      </c>
      <c r="AD25" s="17">
        <f t="shared" si="1"/>
        <v>0</v>
      </c>
      <c r="AE25" s="17">
        <f t="shared" si="3"/>
        <v>0</v>
      </c>
      <c r="AF25" s="19" t="str">
        <f t="shared" si="4"/>
        <v>-</v>
      </c>
      <c r="AG25" s="19" t="str">
        <f>IFERROR(((AC25*#REF!)+(AD25*#REF!)+(AF25*#REF!))/SUM(#REF!),"")</f>
        <v/>
      </c>
    </row>
    <row r="26" spans="2:33" x14ac:dyDescent="0.25">
      <c r="B26" s="236" t="s">
        <v>79</v>
      </c>
      <c r="C26" s="9"/>
      <c r="D26" s="159"/>
      <c r="E26" s="159"/>
      <c r="F26" s="4"/>
      <c r="G26" s="37"/>
      <c r="H26" s="9"/>
      <c r="I26" s="159"/>
      <c r="J26" s="159"/>
      <c r="K26" s="4"/>
      <c r="L26" s="10"/>
      <c r="M26" s="23"/>
      <c r="N26" s="159"/>
      <c r="O26" s="159"/>
      <c r="P26" s="4"/>
      <c r="Q26" s="37"/>
      <c r="R26" s="9"/>
      <c r="S26" s="159"/>
      <c r="T26" s="159"/>
      <c r="U26" s="4"/>
      <c r="V26" s="10"/>
      <c r="W26" s="259"/>
      <c r="X26" s="3"/>
      <c r="Y26" s="3"/>
      <c r="Z26" s="4"/>
      <c r="AA26" s="10"/>
      <c r="AB26" s="15">
        <f t="shared" si="2"/>
        <v>0</v>
      </c>
      <c r="AC26" s="17">
        <f t="shared" si="0"/>
        <v>0</v>
      </c>
      <c r="AD26" s="17">
        <f t="shared" si="1"/>
        <v>0</v>
      </c>
      <c r="AE26" s="17">
        <f t="shared" si="3"/>
        <v>0</v>
      </c>
      <c r="AF26" s="19" t="str">
        <f t="shared" si="4"/>
        <v>-</v>
      </c>
      <c r="AG26" s="19" t="str">
        <f>IFERROR(((AC26*#REF!)+(AD26*#REF!)+(AF26*#REF!))/SUM(#REF!),"")</f>
        <v/>
      </c>
    </row>
    <row r="27" spans="2:33" x14ac:dyDescent="0.25">
      <c r="B27" s="236" t="s">
        <v>20</v>
      </c>
      <c r="C27" s="9"/>
      <c r="D27" s="159"/>
      <c r="E27" s="159"/>
      <c r="F27" s="4"/>
      <c r="G27" s="37"/>
      <c r="H27" s="9"/>
      <c r="I27" s="159"/>
      <c r="J27" s="159"/>
      <c r="K27" s="4"/>
      <c r="L27" s="10"/>
      <c r="M27" s="23"/>
      <c r="N27" s="159"/>
      <c r="O27" s="159"/>
      <c r="P27" s="4"/>
      <c r="Q27" s="37"/>
      <c r="R27" s="9"/>
      <c r="S27" s="159"/>
      <c r="T27" s="159"/>
      <c r="U27" s="4"/>
      <c r="V27" s="10"/>
      <c r="W27" s="259"/>
      <c r="X27" s="3"/>
      <c r="Y27" s="3"/>
      <c r="Z27" s="4"/>
      <c r="AA27" s="10"/>
      <c r="AB27" s="15">
        <f t="shared" si="2"/>
        <v>0</v>
      </c>
      <c r="AC27" s="17">
        <f t="shared" si="0"/>
        <v>0</v>
      </c>
      <c r="AD27" s="17">
        <f t="shared" si="1"/>
        <v>0</v>
      </c>
      <c r="AE27" s="17">
        <f t="shared" si="3"/>
        <v>0</v>
      </c>
      <c r="AF27" s="19" t="str">
        <f t="shared" si="4"/>
        <v>-</v>
      </c>
      <c r="AG27" s="19" t="str">
        <f>IFERROR(((AC27*#REF!)+(AD27*#REF!)+(AF27*#REF!))/SUM(#REF!),"")</f>
        <v/>
      </c>
    </row>
    <row r="28" spans="2:33" x14ac:dyDescent="0.25">
      <c r="B28" s="237" t="s">
        <v>82</v>
      </c>
      <c r="C28" s="9"/>
      <c r="D28" s="159"/>
      <c r="E28" s="159"/>
      <c r="F28" s="4"/>
      <c r="G28" s="37"/>
      <c r="H28" s="9"/>
      <c r="I28" s="159"/>
      <c r="J28" s="159"/>
      <c r="K28" s="4"/>
      <c r="L28" s="10"/>
      <c r="M28" s="23"/>
      <c r="N28" s="159"/>
      <c r="O28" s="159"/>
      <c r="P28" s="4"/>
      <c r="Q28" s="37"/>
      <c r="R28" s="9"/>
      <c r="S28" s="159"/>
      <c r="T28" s="159"/>
      <c r="U28" s="4"/>
      <c r="V28" s="10"/>
      <c r="W28" s="259"/>
      <c r="X28" s="3"/>
      <c r="Y28" s="3"/>
      <c r="Z28" s="4"/>
      <c r="AA28" s="10"/>
      <c r="AB28" s="15">
        <f t="shared" si="2"/>
        <v>0</v>
      </c>
      <c r="AC28" s="17">
        <f t="shared" si="0"/>
        <v>0</v>
      </c>
      <c r="AD28" s="17">
        <f t="shared" si="1"/>
        <v>0</v>
      </c>
      <c r="AE28" s="17">
        <f t="shared" si="3"/>
        <v>0</v>
      </c>
      <c r="AF28" s="19" t="str">
        <f t="shared" si="4"/>
        <v>-</v>
      </c>
      <c r="AG28" s="19" t="str">
        <f>IFERROR(((AC28*#REF!)+(AD28*#REF!)+(AF28*#REF!))/SUM(#REF!),"")</f>
        <v/>
      </c>
    </row>
    <row r="29" spans="2:33" x14ac:dyDescent="0.25">
      <c r="B29" s="236" t="s">
        <v>21</v>
      </c>
      <c r="C29" s="9"/>
      <c r="D29" s="159"/>
      <c r="E29" s="159"/>
      <c r="F29" s="4"/>
      <c r="G29" s="37"/>
      <c r="H29" s="9"/>
      <c r="I29" s="159"/>
      <c r="J29" s="159"/>
      <c r="K29" s="4"/>
      <c r="L29" s="10"/>
      <c r="M29" s="23"/>
      <c r="N29" s="159"/>
      <c r="O29" s="159"/>
      <c r="P29" s="4"/>
      <c r="Q29" s="37"/>
      <c r="R29" s="9"/>
      <c r="S29" s="159"/>
      <c r="T29" s="159"/>
      <c r="U29" s="4"/>
      <c r="V29" s="10"/>
      <c r="W29" s="259"/>
      <c r="X29" s="3"/>
      <c r="Y29" s="3"/>
      <c r="Z29" s="4"/>
      <c r="AA29" s="10"/>
      <c r="AB29" s="15">
        <f t="shared" si="2"/>
        <v>0</v>
      </c>
      <c r="AC29" s="17">
        <f t="shared" si="0"/>
        <v>0</v>
      </c>
      <c r="AD29" s="17">
        <f t="shared" si="1"/>
        <v>0</v>
      </c>
      <c r="AE29" s="17">
        <f t="shared" si="3"/>
        <v>0</v>
      </c>
      <c r="AF29" s="19" t="str">
        <f t="shared" si="4"/>
        <v>-</v>
      </c>
      <c r="AG29" s="19" t="str">
        <f>IFERROR(((AC29*#REF!)+(AD29*#REF!)+(AF29*#REF!))/SUM(#REF!),"")</f>
        <v/>
      </c>
    </row>
    <row r="30" spans="2:33" x14ac:dyDescent="0.25">
      <c r="B30" s="236" t="s">
        <v>22</v>
      </c>
      <c r="C30" s="9"/>
      <c r="D30" s="159"/>
      <c r="E30" s="159"/>
      <c r="F30" s="4"/>
      <c r="G30" s="37"/>
      <c r="H30" s="9"/>
      <c r="I30" s="159"/>
      <c r="J30" s="159"/>
      <c r="K30" s="4"/>
      <c r="L30" s="10"/>
      <c r="M30" s="23"/>
      <c r="N30" s="159"/>
      <c r="O30" s="159"/>
      <c r="P30" s="4"/>
      <c r="Q30" s="37"/>
      <c r="R30" s="9"/>
      <c r="S30" s="159"/>
      <c r="T30" s="159"/>
      <c r="U30" s="4"/>
      <c r="V30" s="10"/>
      <c r="W30" s="259"/>
      <c r="X30" s="3"/>
      <c r="Y30" s="3"/>
      <c r="Z30" s="4"/>
      <c r="AA30" s="10"/>
      <c r="AB30" s="15">
        <f t="shared" si="2"/>
        <v>0</v>
      </c>
      <c r="AC30" s="17">
        <f t="shared" si="0"/>
        <v>0</v>
      </c>
      <c r="AD30" s="17">
        <f t="shared" si="1"/>
        <v>0</v>
      </c>
      <c r="AE30" s="17">
        <f t="shared" si="3"/>
        <v>0</v>
      </c>
      <c r="AF30" s="19" t="str">
        <f t="shared" si="4"/>
        <v>-</v>
      </c>
      <c r="AG30" s="19" t="str">
        <f>IFERROR(((AC30*#REF!)+(AD30*#REF!)+(AF30*#REF!))/SUM(#REF!),"")</f>
        <v/>
      </c>
    </row>
    <row r="31" spans="2:33" x14ac:dyDescent="0.25">
      <c r="B31" s="236" t="s">
        <v>23</v>
      </c>
      <c r="C31" s="9"/>
      <c r="D31" s="159"/>
      <c r="E31" s="159"/>
      <c r="F31" s="4"/>
      <c r="G31" s="37"/>
      <c r="H31" s="9"/>
      <c r="I31" s="159"/>
      <c r="J31" s="159"/>
      <c r="K31" s="4"/>
      <c r="L31" s="10"/>
      <c r="M31" s="23"/>
      <c r="N31" s="159"/>
      <c r="O31" s="159"/>
      <c r="P31" s="4"/>
      <c r="Q31" s="37"/>
      <c r="R31" s="9"/>
      <c r="S31" s="159"/>
      <c r="T31" s="159"/>
      <c r="U31" s="4"/>
      <c r="V31" s="10"/>
      <c r="W31" s="259"/>
      <c r="X31" s="3"/>
      <c r="Y31" s="3"/>
      <c r="Z31" s="4"/>
      <c r="AA31" s="10"/>
      <c r="AB31" s="15">
        <f t="shared" si="2"/>
        <v>0</v>
      </c>
      <c r="AC31" s="17">
        <f t="shared" si="0"/>
        <v>0</v>
      </c>
      <c r="AD31" s="17">
        <f t="shared" si="1"/>
        <v>0</v>
      </c>
      <c r="AE31" s="17">
        <f t="shared" si="3"/>
        <v>0</v>
      </c>
      <c r="AF31" s="19" t="str">
        <f t="shared" si="4"/>
        <v>-</v>
      </c>
      <c r="AG31" s="19" t="str">
        <f>IFERROR(((AC31*#REF!)+(AD31*#REF!)+(AF31*#REF!))/SUM(#REF!),"")</f>
        <v/>
      </c>
    </row>
    <row r="32" spans="2:33" x14ac:dyDescent="0.25">
      <c r="B32" s="237" t="s">
        <v>84</v>
      </c>
      <c r="C32" s="9"/>
      <c r="D32" s="159"/>
      <c r="E32" s="159"/>
      <c r="F32" s="4"/>
      <c r="G32" s="37"/>
      <c r="H32" s="9"/>
      <c r="I32" s="159"/>
      <c r="J32" s="159"/>
      <c r="K32" s="4"/>
      <c r="L32" s="10"/>
      <c r="M32" s="23"/>
      <c r="N32" s="159"/>
      <c r="O32" s="159"/>
      <c r="P32" s="4"/>
      <c r="Q32" s="37"/>
      <c r="R32" s="9"/>
      <c r="S32" s="159"/>
      <c r="T32" s="159"/>
      <c r="U32" s="4"/>
      <c r="V32" s="10"/>
      <c r="W32" s="259"/>
      <c r="X32" s="3"/>
      <c r="Y32" s="3"/>
      <c r="Z32" s="4"/>
      <c r="AA32" s="10"/>
      <c r="AB32" s="15">
        <f t="shared" si="2"/>
        <v>0</v>
      </c>
      <c r="AC32" s="17">
        <f t="shared" si="0"/>
        <v>0</v>
      </c>
      <c r="AD32" s="17">
        <f t="shared" si="1"/>
        <v>0</v>
      </c>
      <c r="AE32" s="17">
        <f t="shared" si="3"/>
        <v>0</v>
      </c>
      <c r="AF32" s="19" t="str">
        <f t="shared" si="4"/>
        <v>-</v>
      </c>
      <c r="AG32" s="19" t="str">
        <f>IFERROR(((AC32*#REF!)+(AD32*#REF!)+(AF32*#REF!))/SUM(#REF!),"")</f>
        <v/>
      </c>
    </row>
    <row r="33" spans="2:33" x14ac:dyDescent="0.25">
      <c r="B33" s="236" t="s">
        <v>24</v>
      </c>
      <c r="C33" s="9"/>
      <c r="D33" s="159"/>
      <c r="E33" s="159"/>
      <c r="F33" s="4"/>
      <c r="G33" s="37"/>
      <c r="H33" s="9"/>
      <c r="I33" s="159"/>
      <c r="J33" s="159"/>
      <c r="K33" s="4"/>
      <c r="L33" s="10"/>
      <c r="M33" s="23"/>
      <c r="N33" s="159"/>
      <c r="O33" s="159"/>
      <c r="P33" s="4"/>
      <c r="Q33" s="37"/>
      <c r="R33" s="9"/>
      <c r="S33" s="159"/>
      <c r="T33" s="159"/>
      <c r="U33" s="4"/>
      <c r="V33" s="10"/>
      <c r="W33" s="259"/>
      <c r="X33" s="3"/>
      <c r="Y33" s="3"/>
      <c r="Z33" s="4"/>
      <c r="AA33" s="10"/>
      <c r="AB33" s="15">
        <f t="shared" si="2"/>
        <v>0</v>
      </c>
      <c r="AC33" s="17">
        <f t="shared" si="0"/>
        <v>0</v>
      </c>
      <c r="AD33" s="17">
        <f t="shared" si="1"/>
        <v>0</v>
      </c>
      <c r="AE33" s="17">
        <f t="shared" si="3"/>
        <v>0</v>
      </c>
      <c r="AF33" s="19" t="str">
        <f t="shared" si="4"/>
        <v>-</v>
      </c>
      <c r="AG33" s="19" t="str">
        <f>IFERROR(((AC33*#REF!)+(AD33*#REF!)+(AF33*#REF!))/SUM(#REF!),"")</f>
        <v/>
      </c>
    </row>
    <row r="34" spans="2:33" x14ac:dyDescent="0.25">
      <c r="B34" s="236" t="s">
        <v>25</v>
      </c>
      <c r="C34" s="9"/>
      <c r="D34" s="159"/>
      <c r="E34" s="159"/>
      <c r="F34" s="4"/>
      <c r="G34" s="37"/>
      <c r="H34" s="9"/>
      <c r="I34" s="159"/>
      <c r="J34" s="159"/>
      <c r="K34" s="4"/>
      <c r="L34" s="10"/>
      <c r="M34" s="23"/>
      <c r="N34" s="159"/>
      <c r="O34" s="159"/>
      <c r="P34" s="4"/>
      <c r="Q34" s="37"/>
      <c r="R34" s="9"/>
      <c r="S34" s="159"/>
      <c r="T34" s="159"/>
      <c r="U34" s="4"/>
      <c r="V34" s="10"/>
      <c r="W34" s="259"/>
      <c r="X34" s="3"/>
      <c r="Y34" s="3"/>
      <c r="Z34" s="4"/>
      <c r="AA34" s="10"/>
      <c r="AB34" s="15">
        <f t="shared" si="2"/>
        <v>0</v>
      </c>
      <c r="AC34" s="17">
        <f t="shared" si="0"/>
        <v>0</v>
      </c>
      <c r="AD34" s="17">
        <f t="shared" si="1"/>
        <v>0</v>
      </c>
      <c r="AE34" s="17">
        <f t="shared" si="3"/>
        <v>0</v>
      </c>
      <c r="AF34" s="19" t="str">
        <f t="shared" si="4"/>
        <v>-</v>
      </c>
      <c r="AG34" s="19" t="str">
        <f>IFERROR(((AC34*#REF!)+(AD34*#REF!)+(AF34*#REF!))/SUM(#REF!),"")</f>
        <v/>
      </c>
    </row>
    <row r="35" spans="2:33" x14ac:dyDescent="0.25">
      <c r="B35" s="236" t="s">
        <v>26</v>
      </c>
      <c r="C35" s="9"/>
      <c r="D35" s="159"/>
      <c r="E35" s="159"/>
      <c r="F35" s="4"/>
      <c r="G35" s="37"/>
      <c r="H35" s="9"/>
      <c r="I35" s="159"/>
      <c r="J35" s="159"/>
      <c r="K35" s="4"/>
      <c r="L35" s="10"/>
      <c r="M35" s="23"/>
      <c r="N35" s="159"/>
      <c r="O35" s="159"/>
      <c r="P35" s="4"/>
      <c r="Q35" s="37"/>
      <c r="R35" s="9"/>
      <c r="S35" s="159"/>
      <c r="T35" s="159"/>
      <c r="U35" s="4"/>
      <c r="V35" s="10"/>
      <c r="W35" s="259"/>
      <c r="X35" s="3"/>
      <c r="Y35" s="3"/>
      <c r="Z35" s="4"/>
      <c r="AA35" s="10"/>
      <c r="AB35" s="15">
        <f t="shared" si="2"/>
        <v>0</v>
      </c>
      <c r="AC35" s="17">
        <f t="shared" si="0"/>
        <v>0</v>
      </c>
      <c r="AD35" s="17">
        <f t="shared" si="1"/>
        <v>0</v>
      </c>
      <c r="AE35" s="17">
        <f t="shared" si="3"/>
        <v>0</v>
      </c>
      <c r="AF35" s="19" t="str">
        <f t="shared" si="4"/>
        <v>-</v>
      </c>
      <c r="AG35" s="19" t="str">
        <f>IFERROR(((AC35*#REF!)+(AD35*#REF!)+(AF35*#REF!))/SUM(#REF!),"")</f>
        <v/>
      </c>
    </row>
    <row r="36" spans="2:33" x14ac:dyDescent="0.25">
      <c r="B36" s="236" t="s">
        <v>27</v>
      </c>
      <c r="C36" s="9"/>
      <c r="D36" s="159"/>
      <c r="E36" s="159"/>
      <c r="F36" s="4"/>
      <c r="G36" s="37"/>
      <c r="H36" s="9"/>
      <c r="I36" s="159"/>
      <c r="J36" s="159"/>
      <c r="K36" s="4"/>
      <c r="L36" s="10"/>
      <c r="M36" s="23"/>
      <c r="N36" s="159"/>
      <c r="O36" s="159"/>
      <c r="P36" s="4"/>
      <c r="Q36" s="37"/>
      <c r="R36" s="9"/>
      <c r="S36" s="159"/>
      <c r="T36" s="159"/>
      <c r="U36" s="4"/>
      <c r="V36" s="10"/>
      <c r="W36" s="259"/>
      <c r="X36" s="3"/>
      <c r="Y36" s="3"/>
      <c r="Z36" s="4"/>
      <c r="AA36" s="10"/>
      <c r="AB36" s="15">
        <f t="shared" si="2"/>
        <v>0</v>
      </c>
      <c r="AC36" s="17">
        <f t="shared" si="0"/>
        <v>0</v>
      </c>
      <c r="AD36" s="17">
        <f t="shared" si="1"/>
        <v>0</v>
      </c>
      <c r="AE36" s="17">
        <f t="shared" si="3"/>
        <v>0</v>
      </c>
      <c r="AF36" s="19" t="str">
        <f t="shared" si="4"/>
        <v>-</v>
      </c>
      <c r="AG36" s="19" t="str">
        <f>IFERROR(((AC36*#REF!)+(AD36*#REF!)+(AF36*#REF!))/SUM(#REF!),"")</f>
        <v/>
      </c>
    </row>
    <row r="37" spans="2:33" x14ac:dyDescent="0.25">
      <c r="B37" s="236" t="s">
        <v>28</v>
      </c>
      <c r="C37" s="9"/>
      <c r="D37" s="159"/>
      <c r="E37" s="159"/>
      <c r="F37" s="4"/>
      <c r="G37" s="37"/>
      <c r="H37" s="9"/>
      <c r="I37" s="159"/>
      <c r="J37" s="159"/>
      <c r="K37" s="4"/>
      <c r="L37" s="10"/>
      <c r="M37" s="23"/>
      <c r="N37" s="159"/>
      <c r="O37" s="159"/>
      <c r="P37" s="4"/>
      <c r="Q37" s="37"/>
      <c r="R37" s="9"/>
      <c r="S37" s="159"/>
      <c r="T37" s="159"/>
      <c r="U37" s="4"/>
      <c r="V37" s="10"/>
      <c r="W37" s="259"/>
      <c r="X37" s="3"/>
      <c r="Y37" s="3"/>
      <c r="Z37" s="4"/>
      <c r="AA37" s="10"/>
      <c r="AB37" s="15">
        <f t="shared" si="2"/>
        <v>0</v>
      </c>
      <c r="AC37" s="17">
        <f t="shared" si="0"/>
        <v>0</v>
      </c>
      <c r="AD37" s="17">
        <f t="shared" si="1"/>
        <v>0</v>
      </c>
      <c r="AE37" s="17">
        <f t="shared" si="3"/>
        <v>0</v>
      </c>
      <c r="AF37" s="19" t="str">
        <f t="shared" si="4"/>
        <v>-</v>
      </c>
      <c r="AG37" s="19" t="str">
        <f>IFERROR(((AC37*#REF!)+(AD37*#REF!)+(AF37*#REF!))/SUM(#REF!),"")</f>
        <v/>
      </c>
    </row>
    <row r="38" spans="2:33" x14ac:dyDescent="0.25">
      <c r="B38" s="236" t="s">
        <v>77</v>
      </c>
      <c r="C38" s="9"/>
      <c r="D38" s="159"/>
      <c r="E38" s="159"/>
      <c r="F38" s="4"/>
      <c r="G38" s="37"/>
      <c r="H38" s="9"/>
      <c r="I38" s="159"/>
      <c r="J38" s="159"/>
      <c r="K38" s="4"/>
      <c r="L38" s="10"/>
      <c r="M38" s="23"/>
      <c r="N38" s="159"/>
      <c r="O38" s="159"/>
      <c r="P38" s="4"/>
      <c r="Q38" s="37"/>
      <c r="R38" s="9"/>
      <c r="S38" s="159"/>
      <c r="T38" s="159"/>
      <c r="U38" s="4"/>
      <c r="V38" s="10"/>
      <c r="W38" s="259"/>
      <c r="X38" s="3"/>
      <c r="Y38" s="3"/>
      <c r="Z38" s="4"/>
      <c r="AA38" s="10"/>
      <c r="AB38" s="15">
        <f t="shared" si="2"/>
        <v>0</v>
      </c>
      <c r="AC38" s="17">
        <f t="shared" si="0"/>
        <v>0</v>
      </c>
      <c r="AD38" s="17">
        <f t="shared" si="1"/>
        <v>0</v>
      </c>
      <c r="AE38" s="17">
        <f t="shared" si="3"/>
        <v>0</v>
      </c>
      <c r="AF38" s="19" t="str">
        <f t="shared" si="4"/>
        <v>-</v>
      </c>
      <c r="AG38" s="19" t="str">
        <f>IFERROR(((AC38*#REF!)+(AD38*#REF!)+(AF38*#REF!))/SUM(#REF!),"")</f>
        <v/>
      </c>
    </row>
    <row r="39" spans="2:33" x14ac:dyDescent="0.25">
      <c r="B39" s="236" t="s">
        <v>29</v>
      </c>
      <c r="C39" s="9"/>
      <c r="D39" s="159"/>
      <c r="E39" s="159"/>
      <c r="F39" s="4"/>
      <c r="G39" s="37"/>
      <c r="H39" s="9"/>
      <c r="I39" s="159"/>
      <c r="J39" s="159"/>
      <c r="K39" s="4"/>
      <c r="L39" s="10"/>
      <c r="M39" s="23"/>
      <c r="N39" s="159"/>
      <c r="O39" s="159"/>
      <c r="P39" s="4"/>
      <c r="Q39" s="37"/>
      <c r="R39" s="9"/>
      <c r="S39" s="159"/>
      <c r="T39" s="159"/>
      <c r="U39" s="4"/>
      <c r="V39" s="10"/>
      <c r="W39" s="259"/>
      <c r="X39" s="3"/>
      <c r="Y39" s="3"/>
      <c r="Z39" s="4"/>
      <c r="AA39" s="10"/>
      <c r="AB39" s="15">
        <f t="shared" si="2"/>
        <v>0</v>
      </c>
      <c r="AC39" s="17">
        <f t="shared" si="0"/>
        <v>0</v>
      </c>
      <c r="AD39" s="17">
        <f t="shared" si="1"/>
        <v>0</v>
      </c>
      <c r="AE39" s="17">
        <f t="shared" si="3"/>
        <v>0</v>
      </c>
      <c r="AF39" s="19" t="str">
        <f t="shared" si="4"/>
        <v>-</v>
      </c>
      <c r="AG39" s="19" t="str">
        <f>IFERROR(((AC39*#REF!)+(AD39*#REF!)+(AF39*#REF!))/SUM(#REF!),"")</f>
        <v/>
      </c>
    </row>
    <row r="40" spans="2:33" x14ac:dyDescent="0.25">
      <c r="B40" s="236" t="s">
        <v>30</v>
      </c>
      <c r="C40" s="9"/>
      <c r="D40" s="159"/>
      <c r="E40" s="159"/>
      <c r="F40" s="4"/>
      <c r="G40" s="37"/>
      <c r="H40" s="9"/>
      <c r="I40" s="159"/>
      <c r="J40" s="159"/>
      <c r="K40" s="4"/>
      <c r="L40" s="10"/>
      <c r="M40" s="23"/>
      <c r="N40" s="159"/>
      <c r="O40" s="159"/>
      <c r="P40" s="4"/>
      <c r="Q40" s="37"/>
      <c r="R40" s="9"/>
      <c r="S40" s="159"/>
      <c r="T40" s="159"/>
      <c r="U40" s="4"/>
      <c r="V40" s="10"/>
      <c r="W40" s="259"/>
      <c r="X40" s="3"/>
      <c r="Y40" s="3"/>
      <c r="Z40" s="4"/>
      <c r="AA40" s="10"/>
      <c r="AB40" s="15">
        <f t="shared" si="2"/>
        <v>0</v>
      </c>
      <c r="AC40" s="17">
        <f t="shared" si="0"/>
        <v>0</v>
      </c>
      <c r="AD40" s="17">
        <f t="shared" si="1"/>
        <v>0</v>
      </c>
      <c r="AE40" s="17">
        <f t="shared" si="3"/>
        <v>0</v>
      </c>
      <c r="AF40" s="19" t="str">
        <f t="shared" si="4"/>
        <v>-</v>
      </c>
      <c r="AG40" s="19" t="str">
        <f>IFERROR(((AC40*#REF!)+(AD40*#REF!)+(AF40*#REF!))/SUM(#REF!),"")</f>
        <v/>
      </c>
    </row>
    <row r="41" spans="2:33" x14ac:dyDescent="0.25">
      <c r="B41" s="236" t="s">
        <v>31</v>
      </c>
      <c r="C41" s="9"/>
      <c r="D41" s="159"/>
      <c r="E41" s="159"/>
      <c r="F41" s="4"/>
      <c r="G41" s="37"/>
      <c r="H41" s="9"/>
      <c r="I41" s="159"/>
      <c r="J41" s="159"/>
      <c r="K41" s="4"/>
      <c r="L41" s="10"/>
      <c r="M41" s="23"/>
      <c r="N41" s="159"/>
      <c r="O41" s="159"/>
      <c r="P41" s="4"/>
      <c r="Q41" s="37"/>
      <c r="R41" s="9"/>
      <c r="S41" s="159"/>
      <c r="T41" s="159"/>
      <c r="U41" s="4"/>
      <c r="V41" s="10"/>
      <c r="W41" s="259"/>
      <c r="X41" s="3"/>
      <c r="Y41" s="3"/>
      <c r="Z41" s="4"/>
      <c r="AA41" s="10"/>
      <c r="AB41" s="15">
        <f t="shared" si="2"/>
        <v>0</v>
      </c>
      <c r="AC41" s="17">
        <f t="shared" si="0"/>
        <v>0</v>
      </c>
      <c r="AD41" s="17">
        <f t="shared" si="1"/>
        <v>0</v>
      </c>
      <c r="AE41" s="17">
        <f t="shared" si="3"/>
        <v>0</v>
      </c>
      <c r="AF41" s="19" t="str">
        <f t="shared" si="4"/>
        <v>-</v>
      </c>
      <c r="AG41" s="19" t="str">
        <f>IFERROR(((AC41*#REF!)+(AD41*#REF!)+(AF41*#REF!))/SUM(#REF!),"")</f>
        <v/>
      </c>
    </row>
    <row r="42" spans="2:33" x14ac:dyDescent="0.25">
      <c r="B42" s="236" t="s">
        <v>32</v>
      </c>
      <c r="C42" s="9"/>
      <c r="D42" s="159"/>
      <c r="E42" s="159"/>
      <c r="F42" s="4"/>
      <c r="G42" s="37"/>
      <c r="H42" s="9"/>
      <c r="I42" s="159"/>
      <c r="J42" s="159"/>
      <c r="K42" s="4"/>
      <c r="L42" s="10"/>
      <c r="M42" s="23"/>
      <c r="N42" s="159"/>
      <c r="O42" s="159"/>
      <c r="P42" s="4"/>
      <c r="Q42" s="37"/>
      <c r="R42" s="9"/>
      <c r="S42" s="159"/>
      <c r="T42" s="159"/>
      <c r="U42" s="4"/>
      <c r="V42" s="10"/>
      <c r="W42" s="259"/>
      <c r="X42" s="3"/>
      <c r="Y42" s="3"/>
      <c r="Z42" s="4"/>
      <c r="AA42" s="10"/>
      <c r="AB42" s="15">
        <f t="shared" si="2"/>
        <v>0</v>
      </c>
      <c r="AC42" s="17">
        <f t="shared" si="0"/>
        <v>0</v>
      </c>
      <c r="AD42" s="17">
        <f t="shared" si="1"/>
        <v>0</v>
      </c>
      <c r="AE42" s="17">
        <f t="shared" si="3"/>
        <v>0</v>
      </c>
      <c r="AF42" s="19" t="str">
        <f t="shared" si="4"/>
        <v>-</v>
      </c>
      <c r="AG42" s="19" t="str">
        <f>IFERROR(((AC42*#REF!)+(AD42*#REF!)+(AF42*#REF!))/SUM(#REF!),"")</f>
        <v/>
      </c>
    </row>
    <row r="43" spans="2:33" x14ac:dyDescent="0.25">
      <c r="B43" s="236" t="s">
        <v>33</v>
      </c>
      <c r="C43" s="9"/>
      <c r="D43" s="159"/>
      <c r="E43" s="159"/>
      <c r="F43" s="4"/>
      <c r="G43" s="37"/>
      <c r="H43" s="9"/>
      <c r="I43" s="159"/>
      <c r="J43" s="159"/>
      <c r="K43" s="4"/>
      <c r="L43" s="10"/>
      <c r="M43" s="23"/>
      <c r="N43" s="159"/>
      <c r="O43" s="159"/>
      <c r="P43" s="4"/>
      <c r="Q43" s="37"/>
      <c r="R43" s="9"/>
      <c r="S43" s="159"/>
      <c r="T43" s="159"/>
      <c r="U43" s="4"/>
      <c r="V43" s="10"/>
      <c r="W43" s="259"/>
      <c r="X43" s="3"/>
      <c r="Y43" s="3"/>
      <c r="Z43" s="4"/>
      <c r="AA43" s="10"/>
      <c r="AB43" s="15">
        <f t="shared" si="2"/>
        <v>0</v>
      </c>
      <c r="AC43" s="17">
        <f t="shared" si="0"/>
        <v>0</v>
      </c>
      <c r="AD43" s="17">
        <f t="shared" si="1"/>
        <v>0</v>
      </c>
      <c r="AE43" s="17">
        <f t="shared" si="3"/>
        <v>0</v>
      </c>
      <c r="AF43" s="19" t="str">
        <f t="shared" si="4"/>
        <v>-</v>
      </c>
      <c r="AG43" s="19" t="str">
        <f>IFERROR(((AC43*#REF!)+(AD43*#REF!)+(AF43*#REF!))/SUM(#REF!),"")</f>
        <v/>
      </c>
    </row>
    <row r="44" spans="2:33" x14ac:dyDescent="0.25">
      <c r="B44" s="236" t="s">
        <v>34</v>
      </c>
      <c r="C44" s="9"/>
      <c r="D44" s="159"/>
      <c r="E44" s="159"/>
      <c r="F44" s="4"/>
      <c r="G44" s="37"/>
      <c r="H44" s="9"/>
      <c r="I44" s="159"/>
      <c r="J44" s="159"/>
      <c r="K44" s="4"/>
      <c r="L44" s="10"/>
      <c r="M44" s="23"/>
      <c r="N44" s="159"/>
      <c r="O44" s="159"/>
      <c r="P44" s="4"/>
      <c r="Q44" s="37"/>
      <c r="R44" s="9"/>
      <c r="S44" s="159"/>
      <c r="T44" s="159"/>
      <c r="U44" s="4"/>
      <c r="V44" s="10"/>
      <c r="W44" s="259"/>
      <c r="X44" s="3"/>
      <c r="Y44" s="3"/>
      <c r="Z44" s="4"/>
      <c r="AA44" s="10"/>
      <c r="AB44" s="15">
        <f t="shared" si="2"/>
        <v>0</v>
      </c>
      <c r="AC44" s="17">
        <f t="shared" si="0"/>
        <v>0</v>
      </c>
      <c r="AD44" s="17">
        <f t="shared" si="1"/>
        <v>0</v>
      </c>
      <c r="AE44" s="17">
        <f t="shared" si="3"/>
        <v>0</v>
      </c>
      <c r="AF44" s="19" t="str">
        <f t="shared" si="4"/>
        <v>-</v>
      </c>
      <c r="AG44" s="19" t="str">
        <f>IFERROR(((AC44*#REF!)+(AD44*#REF!)+(AF44*#REF!))/SUM(#REF!),"")</f>
        <v/>
      </c>
    </row>
    <row r="45" spans="2:33" x14ac:dyDescent="0.25">
      <c r="B45" s="236" t="s">
        <v>35</v>
      </c>
      <c r="C45" s="9"/>
      <c r="D45" s="159"/>
      <c r="E45" s="159"/>
      <c r="F45" s="4"/>
      <c r="G45" s="37"/>
      <c r="H45" s="9"/>
      <c r="I45" s="159"/>
      <c r="J45" s="159"/>
      <c r="K45" s="4"/>
      <c r="L45" s="10"/>
      <c r="M45" s="23"/>
      <c r="N45" s="159"/>
      <c r="O45" s="159"/>
      <c r="P45" s="4"/>
      <c r="Q45" s="37"/>
      <c r="R45" s="9"/>
      <c r="S45" s="159"/>
      <c r="T45" s="159"/>
      <c r="U45" s="4"/>
      <c r="V45" s="10"/>
      <c r="W45" s="259"/>
      <c r="X45" s="3"/>
      <c r="Y45" s="3"/>
      <c r="Z45" s="4"/>
      <c r="AA45" s="10"/>
      <c r="AB45" s="15">
        <f t="shared" si="2"/>
        <v>0</v>
      </c>
      <c r="AC45" s="17">
        <f t="shared" si="0"/>
        <v>0</v>
      </c>
      <c r="AD45" s="17">
        <f t="shared" si="1"/>
        <v>0</v>
      </c>
      <c r="AE45" s="17">
        <f t="shared" si="3"/>
        <v>0</v>
      </c>
      <c r="AF45" s="19" t="str">
        <f t="shared" si="4"/>
        <v>-</v>
      </c>
      <c r="AG45" s="19" t="str">
        <f>IFERROR(((AC45*#REF!)+(AD45*#REF!)+(AF45*#REF!))/SUM(#REF!),"")</f>
        <v/>
      </c>
    </row>
    <row r="46" spans="2:33" x14ac:dyDescent="0.25">
      <c r="B46" s="236" t="s">
        <v>36</v>
      </c>
      <c r="C46" s="9"/>
      <c r="D46" s="159"/>
      <c r="E46" s="159"/>
      <c r="F46" s="4"/>
      <c r="G46" s="37"/>
      <c r="H46" s="9"/>
      <c r="I46" s="159"/>
      <c r="J46" s="159"/>
      <c r="K46" s="4"/>
      <c r="L46" s="10"/>
      <c r="M46" s="23"/>
      <c r="N46" s="159"/>
      <c r="O46" s="159"/>
      <c r="P46" s="4"/>
      <c r="Q46" s="37"/>
      <c r="R46" s="9"/>
      <c r="S46" s="159"/>
      <c r="T46" s="159"/>
      <c r="U46" s="4"/>
      <c r="V46" s="10"/>
      <c r="W46" s="259"/>
      <c r="X46" s="3"/>
      <c r="Y46" s="3"/>
      <c r="Z46" s="4"/>
      <c r="AA46" s="10"/>
      <c r="AB46" s="15">
        <f t="shared" si="2"/>
        <v>0</v>
      </c>
      <c r="AC46" s="17">
        <f t="shared" si="0"/>
        <v>0</v>
      </c>
      <c r="AD46" s="17">
        <f t="shared" si="1"/>
        <v>0</v>
      </c>
      <c r="AE46" s="17">
        <f t="shared" si="3"/>
        <v>0</v>
      </c>
      <c r="AF46" s="19" t="str">
        <f t="shared" si="4"/>
        <v>-</v>
      </c>
      <c r="AG46" s="19" t="str">
        <f>IFERROR(((AC46*#REF!)+(AD46*#REF!)+(AF46*#REF!))/SUM(#REF!),"")</f>
        <v/>
      </c>
    </row>
    <row r="47" spans="2:33" x14ac:dyDescent="0.25">
      <c r="B47" s="236" t="s">
        <v>37</v>
      </c>
      <c r="C47" s="9"/>
      <c r="D47" s="159"/>
      <c r="E47" s="159"/>
      <c r="F47" s="4"/>
      <c r="G47" s="37"/>
      <c r="H47" s="9"/>
      <c r="I47" s="159"/>
      <c r="J47" s="159"/>
      <c r="K47" s="4"/>
      <c r="L47" s="10"/>
      <c r="M47" s="23"/>
      <c r="N47" s="159"/>
      <c r="O47" s="159"/>
      <c r="P47" s="4"/>
      <c r="Q47" s="37"/>
      <c r="R47" s="9"/>
      <c r="S47" s="159"/>
      <c r="T47" s="159"/>
      <c r="U47" s="4"/>
      <c r="V47" s="10"/>
      <c r="W47" s="259"/>
      <c r="X47" s="3"/>
      <c r="Y47" s="3"/>
      <c r="Z47" s="4"/>
      <c r="AA47" s="10"/>
      <c r="AB47" s="15">
        <f t="shared" si="2"/>
        <v>0</v>
      </c>
      <c r="AC47" s="17">
        <f t="shared" ref="AC47:AD48" si="5">SUM(D47,I47,N47,S47,X47)</f>
        <v>0</v>
      </c>
      <c r="AD47" s="17">
        <f t="shared" si="5"/>
        <v>0</v>
      </c>
      <c r="AE47" s="17">
        <f t="shared" si="3"/>
        <v>0</v>
      </c>
      <c r="AF47" s="19" t="str">
        <f t="shared" si="4"/>
        <v>-</v>
      </c>
      <c r="AG47" s="19" t="str">
        <f>IFERROR(((AC47*#REF!)+(AD47*#REF!)+(AF47*#REF!))/SUM(#REF!),"")</f>
        <v/>
      </c>
    </row>
    <row r="48" spans="2:33" ht="15.75" thickBot="1" x14ac:dyDescent="0.3">
      <c r="B48" s="237" t="s">
        <v>85</v>
      </c>
      <c r="C48" s="9"/>
      <c r="D48" s="159"/>
      <c r="E48" s="159"/>
      <c r="F48" s="4"/>
      <c r="G48" s="37"/>
      <c r="H48" s="9"/>
      <c r="I48" s="159"/>
      <c r="J48" s="159"/>
      <c r="K48" s="4"/>
      <c r="L48" s="10"/>
      <c r="M48" s="23"/>
      <c r="N48" s="159"/>
      <c r="O48" s="159"/>
      <c r="P48" s="4"/>
      <c r="Q48" s="37"/>
      <c r="R48" s="9"/>
      <c r="S48" s="159"/>
      <c r="T48" s="159"/>
      <c r="U48" s="4"/>
      <c r="V48" s="10"/>
      <c r="W48" s="259"/>
      <c r="X48" s="3"/>
      <c r="Y48" s="3"/>
      <c r="Z48" s="4"/>
      <c r="AA48" s="10"/>
      <c r="AB48" s="16">
        <f t="shared" si="2"/>
        <v>0</v>
      </c>
      <c r="AC48" s="18">
        <f t="shared" si="5"/>
        <v>0</v>
      </c>
      <c r="AD48" s="18">
        <f t="shared" si="5"/>
        <v>0</v>
      </c>
      <c r="AE48" s="18">
        <f t="shared" si="3"/>
        <v>0</v>
      </c>
      <c r="AF48" s="25" t="str">
        <f t="shared" si="4"/>
        <v>-</v>
      </c>
      <c r="AG48" s="25" t="str">
        <f>IFERROR(((AC48*#REF!)+(AD48*#REF!)+(AF48*#REF!))/SUM(#REF!),"")</f>
        <v/>
      </c>
    </row>
    <row r="49" spans="2:33" ht="15.75" thickBot="1" x14ac:dyDescent="0.3">
      <c r="B49" s="236" t="s">
        <v>38</v>
      </c>
      <c r="C49" s="11"/>
      <c r="D49" s="12"/>
      <c r="E49" s="12"/>
      <c r="F49" s="14"/>
      <c r="G49" s="38"/>
      <c r="H49" s="11"/>
      <c r="I49" s="12"/>
      <c r="J49" s="12"/>
      <c r="K49" s="14"/>
      <c r="L49" s="13"/>
      <c r="M49" s="24"/>
      <c r="N49" s="12"/>
      <c r="O49" s="12"/>
      <c r="P49" s="14"/>
      <c r="Q49" s="38"/>
      <c r="R49" s="11"/>
      <c r="S49" s="12"/>
      <c r="T49" s="12"/>
      <c r="U49" s="14"/>
      <c r="V49" s="13"/>
      <c r="W49" s="261"/>
      <c r="X49" s="22"/>
      <c r="Y49" s="22"/>
      <c r="Z49" s="14"/>
      <c r="AA49" s="13"/>
      <c r="AB49" s="225"/>
      <c r="AC49" s="95"/>
      <c r="AD49" s="95"/>
      <c r="AE49" s="95"/>
      <c r="AF49" s="265"/>
      <c r="AG49" s="57"/>
    </row>
    <row r="50" spans="2:33" x14ac:dyDescent="0.25">
      <c r="B50" s="236" t="s">
        <v>39</v>
      </c>
      <c r="C50" s="225"/>
      <c r="D50" s="94"/>
      <c r="E50" s="94"/>
      <c r="F50" s="96"/>
      <c r="G50" s="96"/>
      <c r="H50" s="225"/>
      <c r="I50" s="94"/>
      <c r="J50" s="94"/>
      <c r="K50" s="96"/>
      <c r="L50" s="126"/>
      <c r="M50" s="94"/>
      <c r="N50" s="94"/>
      <c r="O50" s="94"/>
      <c r="P50" s="96"/>
      <c r="Q50" s="96"/>
      <c r="R50" s="225"/>
      <c r="S50" s="94"/>
      <c r="T50" s="94"/>
      <c r="U50" s="96"/>
      <c r="V50" s="126"/>
      <c r="W50" s="96"/>
      <c r="X50" s="95"/>
      <c r="Y50" s="95"/>
      <c r="Z50" s="96"/>
      <c r="AA50" s="126"/>
      <c r="AB50" s="225"/>
      <c r="AC50" s="95"/>
      <c r="AD50" s="95"/>
      <c r="AE50" s="95"/>
      <c r="AF50" s="265"/>
      <c r="AG50" s="57"/>
    </row>
    <row r="51" spans="2:33" x14ac:dyDescent="0.25">
      <c r="B51" s="237" t="s">
        <v>80</v>
      </c>
      <c r="C51" s="225"/>
      <c r="D51" s="94"/>
      <c r="E51" s="94"/>
      <c r="F51" s="96"/>
      <c r="G51" s="96"/>
      <c r="H51" s="225"/>
      <c r="I51" s="94"/>
      <c r="J51" s="94"/>
      <c r="K51" s="96"/>
      <c r="L51" s="126"/>
      <c r="M51" s="94"/>
      <c r="N51" s="94"/>
      <c r="O51" s="94"/>
      <c r="P51" s="96"/>
      <c r="Q51" s="96"/>
      <c r="R51" s="225"/>
      <c r="S51" s="94"/>
      <c r="T51" s="94"/>
      <c r="U51" s="96"/>
      <c r="V51" s="126"/>
      <c r="W51" s="96"/>
      <c r="X51" s="95"/>
      <c r="Y51" s="95"/>
      <c r="Z51" s="96"/>
      <c r="AA51" s="126"/>
      <c r="AB51" s="225"/>
      <c r="AC51" s="95"/>
      <c r="AD51" s="95"/>
      <c r="AE51" s="95"/>
      <c r="AF51" s="265"/>
      <c r="AG51" s="57"/>
    </row>
    <row r="52" spans="2:33" ht="15.75" thickBot="1" x14ac:dyDescent="0.3">
      <c r="B52" s="238" t="s">
        <v>81</v>
      </c>
      <c r="C52" s="226"/>
      <c r="D52" s="227"/>
      <c r="E52" s="227"/>
      <c r="F52" s="228"/>
      <c r="G52" s="228"/>
      <c r="H52" s="226"/>
      <c r="I52" s="227"/>
      <c r="J52" s="227"/>
      <c r="K52" s="228"/>
      <c r="L52" s="230"/>
      <c r="M52" s="227"/>
      <c r="N52" s="227"/>
      <c r="O52" s="227"/>
      <c r="P52" s="228"/>
      <c r="Q52" s="228"/>
      <c r="R52" s="226"/>
      <c r="S52" s="227"/>
      <c r="T52" s="227"/>
      <c r="U52" s="228"/>
      <c r="V52" s="230"/>
      <c r="W52" s="228"/>
      <c r="X52" s="229"/>
      <c r="Y52" s="229"/>
      <c r="Z52" s="228"/>
      <c r="AA52" s="230"/>
      <c r="AB52" s="226"/>
      <c r="AC52" s="229"/>
      <c r="AD52" s="229"/>
      <c r="AE52" s="229"/>
      <c r="AF52" s="266"/>
      <c r="AG52" s="267"/>
    </row>
    <row r="53" spans="2:33" x14ac:dyDescent="0.25">
      <c r="B53" s="93"/>
      <c r="C53" s="166"/>
      <c r="D53" s="166"/>
      <c r="E53" s="166"/>
      <c r="F53" s="167"/>
      <c r="G53" s="167"/>
      <c r="H53" s="166"/>
      <c r="I53" s="166"/>
      <c r="J53" s="166"/>
      <c r="K53" s="167"/>
      <c r="L53" s="167"/>
      <c r="M53" s="166"/>
      <c r="N53" s="166"/>
      <c r="O53" s="166"/>
      <c r="P53" s="167"/>
      <c r="Q53" s="167"/>
      <c r="R53" s="166"/>
      <c r="S53" s="166"/>
      <c r="T53" s="166"/>
      <c r="U53" s="167"/>
      <c r="V53" s="167"/>
      <c r="W53" s="167"/>
      <c r="X53" s="168"/>
      <c r="Y53" s="168"/>
      <c r="Z53" s="167"/>
      <c r="AA53" s="167"/>
    </row>
    <row r="54" spans="2:33" x14ac:dyDescent="0.25">
      <c r="B54" s="93"/>
      <c r="C54" s="166"/>
      <c r="D54" s="166"/>
      <c r="E54" s="166"/>
      <c r="F54" s="167"/>
      <c r="G54" s="167"/>
      <c r="H54" s="166"/>
      <c r="I54" s="166"/>
      <c r="J54" s="166"/>
      <c r="K54" s="167"/>
      <c r="L54" s="167"/>
      <c r="M54" s="166"/>
      <c r="N54" s="166"/>
      <c r="O54" s="166"/>
      <c r="P54" s="167"/>
      <c r="Q54" s="167"/>
      <c r="R54" s="166"/>
      <c r="S54" s="166"/>
      <c r="T54" s="166"/>
      <c r="U54" s="167"/>
      <c r="V54" s="167"/>
      <c r="W54" s="167"/>
      <c r="X54" s="168"/>
      <c r="Y54" s="168"/>
      <c r="Z54" s="167"/>
      <c r="AA54" s="167"/>
    </row>
    <row r="55" spans="2:33" x14ac:dyDescent="0.25">
      <c r="B55" s="93"/>
      <c r="C55" s="166"/>
      <c r="D55" s="166"/>
      <c r="E55" s="166"/>
      <c r="F55" s="167"/>
      <c r="G55" s="167"/>
      <c r="H55" s="166"/>
      <c r="I55" s="166"/>
      <c r="J55" s="166"/>
      <c r="K55" s="167"/>
      <c r="L55" s="167"/>
      <c r="M55" s="166"/>
      <c r="N55" s="166"/>
      <c r="O55" s="166"/>
      <c r="P55" s="167"/>
      <c r="Q55" s="167"/>
      <c r="R55" s="166"/>
      <c r="S55" s="166"/>
      <c r="T55" s="166"/>
      <c r="U55" s="167"/>
      <c r="V55" s="167"/>
      <c r="W55" s="167"/>
      <c r="X55" s="168"/>
      <c r="Y55" s="168"/>
      <c r="Z55" s="167"/>
      <c r="AA55" s="167"/>
    </row>
    <row r="56" spans="2:33" x14ac:dyDescent="0.25">
      <c r="B56" s="93"/>
      <c r="C56" s="166"/>
      <c r="D56" s="166"/>
      <c r="E56" s="166"/>
      <c r="F56" s="167"/>
      <c r="G56" s="167"/>
      <c r="H56" s="166"/>
      <c r="I56" s="166"/>
      <c r="J56" s="166"/>
      <c r="K56" s="167"/>
      <c r="L56" s="167"/>
      <c r="M56" s="166"/>
      <c r="N56" s="166"/>
      <c r="O56" s="166"/>
      <c r="P56" s="167"/>
      <c r="Q56" s="167"/>
      <c r="R56" s="166"/>
      <c r="S56" s="166"/>
      <c r="T56" s="166"/>
      <c r="U56" s="167"/>
      <c r="V56" s="167"/>
      <c r="W56" s="167"/>
      <c r="X56" s="168"/>
      <c r="Y56" s="168"/>
      <c r="Z56" s="167"/>
      <c r="AA56" s="167"/>
    </row>
    <row r="57" spans="2:33" x14ac:dyDescent="0.25">
      <c r="B57" s="93"/>
      <c r="C57" s="166"/>
      <c r="D57" s="166"/>
      <c r="E57" s="166"/>
      <c r="F57" s="167"/>
      <c r="G57" s="167"/>
      <c r="H57" s="166"/>
      <c r="I57" s="166"/>
      <c r="J57" s="166"/>
      <c r="K57" s="167"/>
      <c r="L57" s="167"/>
      <c r="M57" s="166"/>
      <c r="N57" s="166"/>
      <c r="O57" s="166"/>
      <c r="P57" s="167"/>
      <c r="Q57" s="167"/>
      <c r="R57" s="166"/>
      <c r="S57" s="166"/>
      <c r="T57" s="166"/>
      <c r="U57" s="167"/>
      <c r="V57" s="167"/>
      <c r="W57" s="167"/>
      <c r="X57" s="168"/>
      <c r="Y57" s="168"/>
      <c r="Z57" s="167"/>
      <c r="AA57" s="167"/>
    </row>
  </sheetData>
  <sortState xmlns:xlrd2="http://schemas.microsoft.com/office/spreadsheetml/2017/richdata2" ref="B5:AA57">
    <sortCondition ref="B5:B57"/>
  </sortState>
  <mergeCells count="13">
    <mergeCell ref="B1:AG2"/>
    <mergeCell ref="B3:B4"/>
    <mergeCell ref="C3:G3"/>
    <mergeCell ref="H3:L3"/>
    <mergeCell ref="M3:Q3"/>
    <mergeCell ref="R3:V3"/>
    <mergeCell ref="W3:AA3"/>
    <mergeCell ref="AB3:AB4"/>
    <mergeCell ref="AC3:AC4"/>
    <mergeCell ref="AD3:AD4"/>
    <mergeCell ref="AE3:AE4"/>
    <mergeCell ref="AF3:AF4"/>
    <mergeCell ref="AG3:AG4"/>
  </mergeCells>
  <conditionalFormatting sqref="AB5:AB52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{5630AFB3-1CC0-4EE1-8BAB-56EEEA99460C}</x14:id>
        </ext>
      </extLst>
    </cfRule>
  </conditionalFormatting>
  <conditionalFormatting sqref="AC3:AC1048576">
    <cfRule type="top10" dxfId="26" priority="7" rank="1"/>
    <cfRule type="top10" dxfId="25" priority="8" rank="5"/>
  </conditionalFormatting>
  <conditionalFormatting sqref="AD1:AD1048576">
    <cfRule type="top10" dxfId="24" priority="1" rank="1"/>
    <cfRule type="top10" dxfId="23" priority="2" rank="5"/>
  </conditionalFormatting>
  <conditionalFormatting sqref="AE1:AE1048576">
    <cfRule type="top10" dxfId="22" priority="3" rank="1"/>
    <cfRule type="top10" dxfId="21" priority="4" rank="5"/>
  </conditionalFormatting>
  <conditionalFormatting sqref="AF53:AF1048576 AF3:AF48">
    <cfRule type="top10" dxfId="20" priority="5" rank="1"/>
    <cfRule type="top10" dxfId="19" priority="6" rank="5"/>
  </conditionalFormatting>
  <conditionalFormatting sqref="AG3 AG5:AG48">
    <cfRule type="top10" dxfId="18" priority="10" rank="1"/>
    <cfRule type="top10" dxfId="17" priority="11" rank="5"/>
  </conditionalFormatting>
  <pageMargins left="0.511811024" right="0.511811024" top="0.78740157499999996" bottom="0.78740157499999996" header="0.31496062000000002" footer="0.31496062000000002"/>
  <pageSetup paperSize="9" orientation="portrait" horizontalDpi="4294967292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30AFB3-1CC0-4EE1-8BAB-56EEEA99460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AB5:AB52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3144-FDA0-4DA4-87BD-D3DA44FD749D}">
  <sheetPr codeName="Planilha15"/>
  <dimension ref="A1:BO156"/>
  <sheetViews>
    <sheetView showGridLines="0" topLeftCell="B1" zoomScale="75" zoomScaleNormal="75" workbookViewId="0">
      <pane ySplit="4" topLeftCell="A5" activePane="bottomLeft" state="frozen"/>
      <selection activeCell="F53" sqref="F53"/>
      <selection pane="bottomLeft" activeCell="B15" sqref="B15"/>
    </sheetView>
  </sheetViews>
  <sheetFormatPr defaultRowHeight="15" x14ac:dyDescent="0.25"/>
  <cols>
    <col min="1" max="1" width="7.140625" customWidth="1"/>
    <col min="2" max="2" width="28.42578125" style="6" customWidth="1"/>
    <col min="3" max="3" width="9.7109375" style="53" customWidth="1"/>
    <col min="4" max="4" width="14.7109375" customWidth="1"/>
    <col min="5" max="5" width="7" style="8" customWidth="1"/>
    <col min="6" max="6" width="14.5703125" style="2" customWidth="1"/>
    <col min="7" max="7" width="13.85546875" style="2" customWidth="1"/>
    <col min="8" max="8" width="6" style="2" customWidth="1"/>
    <col min="9" max="9" width="6.7109375" style="2" customWidth="1"/>
    <col min="10" max="10" width="13.7109375" style="5" customWidth="1"/>
    <col min="11" max="11" width="4.5703125" hidden="1" customWidth="1"/>
    <col min="12" max="12" width="4" hidden="1" customWidth="1"/>
    <col min="13" max="13" width="5" hidden="1" customWidth="1"/>
    <col min="14" max="14" width="5.7109375" hidden="1" customWidth="1"/>
    <col min="15" max="15" width="4.140625" hidden="1" customWidth="1"/>
    <col min="16" max="16" width="6.85546875" style="82" hidden="1" customWidth="1"/>
    <col min="17" max="17" width="5.28515625" style="82" hidden="1" customWidth="1"/>
    <col min="18" max="20" width="4.140625" style="82" hidden="1" customWidth="1"/>
    <col min="22" max="22" width="9.140625" style="39"/>
    <col min="23" max="23" width="26.5703125" style="39" customWidth="1"/>
    <col min="24" max="24" width="9.140625" style="39"/>
    <col min="25" max="25" width="2.85546875" style="39" hidden="1" customWidth="1"/>
    <col min="26" max="26" width="4" style="39" hidden="1" customWidth="1"/>
    <col min="27" max="28" width="9.140625" style="29"/>
    <col min="29" max="29" width="26.5703125" style="29" customWidth="1"/>
    <col min="30" max="30" width="9.140625" style="29" customWidth="1"/>
    <col min="31" max="31" width="4.140625" style="29" hidden="1" customWidth="1"/>
    <col min="32" max="32" width="5.7109375" style="29" hidden="1" customWidth="1"/>
    <col min="33" max="34" width="9.140625" style="29"/>
    <col min="35" max="35" width="26.5703125" style="29" customWidth="1"/>
    <col min="36" max="36" width="9.140625" style="29" customWidth="1"/>
    <col min="37" max="37" width="6.7109375" style="29" customWidth="1"/>
    <col min="38" max="38" width="9.140625" style="29"/>
    <col min="39" max="39" width="26.5703125" style="29" customWidth="1"/>
    <col min="40" max="40" width="9.140625" style="85" customWidth="1"/>
    <col min="41" max="41" width="6.42578125" style="77" hidden="1" customWidth="1"/>
    <col min="42" max="42" width="8.42578125" style="77" hidden="1" customWidth="1"/>
    <col min="43" max="43" width="8.140625" hidden="1" customWidth="1"/>
    <col min="44" max="44" width="8.5703125" hidden="1" customWidth="1"/>
    <col min="45" max="45" width="7.85546875" hidden="1" customWidth="1"/>
    <col min="46" max="46" width="6.85546875" style="54" hidden="1" customWidth="1"/>
    <col min="47" max="47" width="8" hidden="1" customWidth="1"/>
    <col min="48" max="48" width="7" hidden="1" customWidth="1"/>
    <col min="49" max="49" width="5.28515625" hidden="1" customWidth="1"/>
    <col min="50" max="50" width="7.28515625" hidden="1" customWidth="1"/>
    <col min="51" max="51" width="7" hidden="1" customWidth="1"/>
    <col min="52" max="52" width="8.5703125" hidden="1" customWidth="1"/>
    <col min="53" max="54" width="8" hidden="1" customWidth="1"/>
    <col min="55" max="55" width="8.28515625" hidden="1" customWidth="1"/>
    <col min="56" max="56" width="6.7109375" customWidth="1"/>
    <col min="58" max="58" width="26.5703125" customWidth="1"/>
    <col min="60" max="60" width="5.28515625" hidden="1" customWidth="1"/>
    <col min="61" max="61" width="4.85546875" hidden="1" customWidth="1"/>
    <col min="62" max="62" width="6.7109375" customWidth="1"/>
    <col min="64" max="64" width="26.5703125" customWidth="1"/>
    <col min="66" max="67" width="9.140625" hidden="1" customWidth="1"/>
  </cols>
  <sheetData>
    <row r="1" spans="1:67" ht="15" customHeight="1" x14ac:dyDescent="0.25">
      <c r="B1" s="328" t="s">
        <v>42</v>
      </c>
      <c r="C1" s="329"/>
      <c r="D1" s="329"/>
      <c r="E1" s="329"/>
      <c r="F1" s="329"/>
      <c r="G1" s="329"/>
      <c r="H1" s="329"/>
      <c r="I1" s="356"/>
      <c r="J1" s="330"/>
    </row>
    <row r="2" spans="1:67" ht="15" customHeight="1" thickBot="1" x14ac:dyDescent="0.3">
      <c r="A2" s="1"/>
      <c r="B2" s="331"/>
      <c r="C2" s="332"/>
      <c r="D2" s="332"/>
      <c r="E2" s="332"/>
      <c r="F2" s="332"/>
      <c r="G2" s="332"/>
      <c r="H2" s="332"/>
      <c r="I2" s="357"/>
      <c r="J2" s="333"/>
      <c r="W2" s="83"/>
    </row>
    <row r="3" spans="1:67" ht="15.75" thickBot="1" x14ac:dyDescent="0.3">
      <c r="B3" s="358" t="s">
        <v>0</v>
      </c>
      <c r="C3" s="360" t="s">
        <v>58</v>
      </c>
      <c r="D3" s="360" t="s">
        <v>45</v>
      </c>
      <c r="E3" s="354" t="s">
        <v>51</v>
      </c>
      <c r="F3" s="362" t="s">
        <v>46</v>
      </c>
      <c r="G3" s="362" t="s">
        <v>47</v>
      </c>
      <c r="H3" s="362" t="s">
        <v>72</v>
      </c>
      <c r="I3" s="362" t="s">
        <v>78</v>
      </c>
      <c r="J3" s="379" t="s">
        <v>48</v>
      </c>
      <c r="W3" s="296" t="s">
        <v>52</v>
      </c>
      <c r="X3" s="364" t="s">
        <v>1</v>
      </c>
      <c r="Y3" s="20"/>
      <c r="Z3" s="20"/>
      <c r="AC3" s="296" t="s">
        <v>53</v>
      </c>
      <c r="AD3" s="364" t="s">
        <v>2</v>
      </c>
      <c r="AI3" s="296" t="s">
        <v>54</v>
      </c>
      <c r="AJ3" s="364" t="s">
        <v>40</v>
      </c>
      <c r="AK3" s="20"/>
      <c r="AM3" s="296" t="s">
        <v>71</v>
      </c>
      <c r="AN3" s="377" t="s">
        <v>51</v>
      </c>
      <c r="AO3" s="78"/>
      <c r="AP3" s="78"/>
      <c r="BE3" s="29"/>
      <c r="BF3" s="296" t="s">
        <v>73</v>
      </c>
      <c r="BG3" s="364" t="s">
        <v>72</v>
      </c>
      <c r="BK3" s="29"/>
      <c r="BL3" s="296" t="s">
        <v>78</v>
      </c>
      <c r="BM3" s="364" t="s">
        <v>78</v>
      </c>
    </row>
    <row r="4" spans="1:67" ht="15.75" thickBot="1" x14ac:dyDescent="0.3">
      <c r="B4" s="359"/>
      <c r="C4" s="361"/>
      <c r="D4" s="361"/>
      <c r="E4" s="355"/>
      <c r="F4" s="363"/>
      <c r="G4" s="363"/>
      <c r="H4" s="363"/>
      <c r="I4" s="363"/>
      <c r="J4" s="380"/>
      <c r="K4" s="312" t="s">
        <v>1</v>
      </c>
      <c r="L4" s="373"/>
      <c r="M4" s="373" t="s">
        <v>2</v>
      </c>
      <c r="N4" s="373"/>
      <c r="O4" s="373" t="s">
        <v>45</v>
      </c>
      <c r="P4" s="373"/>
      <c r="Q4" s="373" t="s">
        <v>72</v>
      </c>
      <c r="R4" s="373"/>
      <c r="S4" s="373" t="s">
        <v>78</v>
      </c>
      <c r="T4" s="313"/>
      <c r="W4" s="374"/>
      <c r="X4" s="372"/>
      <c r="Y4" s="20"/>
      <c r="Z4" s="20"/>
      <c r="AC4" s="374"/>
      <c r="AD4" s="372"/>
      <c r="AI4" s="374"/>
      <c r="AJ4" s="372"/>
      <c r="AK4" s="20"/>
      <c r="AM4" s="374"/>
      <c r="AN4" s="378"/>
      <c r="AO4" s="78"/>
      <c r="AP4" s="78"/>
      <c r="BE4" s="29"/>
      <c r="BF4" s="374"/>
      <c r="BG4" s="372"/>
      <c r="BK4" s="29"/>
      <c r="BL4" s="374"/>
      <c r="BM4" s="372"/>
    </row>
    <row r="5" spans="1:67" x14ac:dyDescent="0.25">
      <c r="B5" s="184" t="str">
        <f>JAN!B5</f>
        <v>Alberto Henrique</v>
      </c>
      <c r="C5" s="185" t="s">
        <v>59</v>
      </c>
      <c r="D5" s="186">
        <f>SUM(JAN:DEZ!AB5)</f>
        <v>32</v>
      </c>
      <c r="E5" s="7">
        <f>D5/45</f>
        <v>0.71111111111111114</v>
      </c>
      <c r="F5" s="187">
        <f>SUM(JAN:DEZ!AC5)</f>
        <v>49</v>
      </c>
      <c r="G5" s="187">
        <f>SUM(JAN:DEZ!AD5)</f>
        <v>33</v>
      </c>
      <c r="H5" s="187">
        <f>SUM(JAN:DEZ!AE5)</f>
        <v>82</v>
      </c>
      <c r="I5" s="187">
        <f>SUM(JAN:DEZ!AF5)</f>
        <v>10</v>
      </c>
      <c r="J5" s="188">
        <f>IFERROR(AVERAGE(JAN:DEZ!AG5),"-")</f>
        <v>6.0820999999999996</v>
      </c>
      <c r="K5" s="72">
        <f>COUNTIF(F5:$F$5,F5)</f>
        <v>1</v>
      </c>
      <c r="L5" s="40" t="str">
        <f>F5&amp;K5</f>
        <v>491</v>
      </c>
      <c r="M5" s="40">
        <f>COUNTIF(G5:$G$5,G5)</f>
        <v>1</v>
      </c>
      <c r="N5" s="40" t="str">
        <f>G5&amp;M5</f>
        <v>331</v>
      </c>
      <c r="O5" s="40">
        <f>COUNTIF(E5:$E$5,E5)</f>
        <v>1</v>
      </c>
      <c r="P5" s="130" t="str">
        <f>E5&amp;O5</f>
        <v>0,7111111111111111</v>
      </c>
      <c r="Q5" s="130">
        <f>COUNTIF(H5:$H$5,H5)</f>
        <v>1</v>
      </c>
      <c r="R5" s="130" t="str">
        <f>H5&amp;Q5</f>
        <v>821</v>
      </c>
      <c r="S5" s="130">
        <f>COUNTIF(I5:$I$5,I5)</f>
        <v>1</v>
      </c>
      <c r="T5" s="84" t="str">
        <f>I5&amp;S5</f>
        <v>101</v>
      </c>
      <c r="V5" s="47">
        <v>1</v>
      </c>
      <c r="W5" s="101" t="str">
        <f>INDEX($B$5:$L$100,MATCH(Z5,$L$5:$L$100,0),1)</f>
        <v>João Vitor Nunes</v>
      </c>
      <c r="X5" s="102">
        <f>LARGE($F$5:$F$100,V5)</f>
        <v>92</v>
      </c>
      <c r="Y5" s="33">
        <f>COUNTIF(X5:$X$5,X5)</f>
        <v>1</v>
      </c>
      <c r="Z5" s="33" t="str">
        <f>X5&amp;Y5</f>
        <v>921</v>
      </c>
      <c r="AB5" s="47">
        <v>1</v>
      </c>
      <c r="AC5" s="101" t="str">
        <f>INDEX($B$5:$N$100,MATCH(AF5,$N$5:$N$100,0),1)</f>
        <v>Meurin</v>
      </c>
      <c r="AD5" s="102">
        <f>IFERROR(LARGE($G$5:$G$100,AB5),"-")</f>
        <v>67</v>
      </c>
      <c r="AE5" s="39">
        <f>COUNTIF(AD5:$AD$5,AD5)</f>
        <v>1</v>
      </c>
      <c r="AF5" s="39" t="str">
        <f>AD5&amp;AE5</f>
        <v>671</v>
      </c>
      <c r="AG5" s="39"/>
      <c r="AH5" s="52">
        <v>1</v>
      </c>
      <c r="AI5" s="114" t="str">
        <f t="shared" ref="AI5:AI52" si="0">INDEX($B$5:$J$68,MATCH(AJ5,$J$5:$J$68,0),1)</f>
        <v>Felipe Horsts</v>
      </c>
      <c r="AJ5" s="136">
        <f t="shared" ref="AJ5:AJ52" si="1">IFERROR(LARGE(J$5:J$68,AH5),"-")</f>
        <v>6.6021428571428578</v>
      </c>
      <c r="AK5" s="56"/>
      <c r="AL5" s="52">
        <v>1</v>
      </c>
      <c r="AM5" s="114" t="str">
        <f t="shared" ref="AM5:AM52" si="2">INDEX($B$5:$P$68,MATCH(AP5,$P$5:$P$68,0),1)</f>
        <v>Guilherme Santos (GK)</v>
      </c>
      <c r="AN5" s="115">
        <f t="shared" ref="AN5:AN52" si="3">IFERROR(LARGE(E$5:E$68,AL5),"-")</f>
        <v>0.88888888888888884</v>
      </c>
      <c r="AO5" s="76">
        <f>COUNTIF(AN5:$AN$5,AN5)</f>
        <v>1</v>
      </c>
      <c r="AP5" s="76" t="str">
        <f>AN5&amp;AO5</f>
        <v>0,8888888888888891</v>
      </c>
      <c r="AR5" s="54" t="str">
        <f>IF($C$5:$C$68="GOL",$J$5:$J$68,"")</f>
        <v/>
      </c>
      <c r="AS5" s="55" t="str">
        <f>IF($C$5:$C$68="ZAG",$J$5:$J$68,"")</f>
        <v/>
      </c>
      <c r="AT5" s="54">
        <f>IF($C$5:$C$68="MEI",$J$5:$J$68,"")</f>
        <v>6.0820999999999996</v>
      </c>
      <c r="AU5" s="54" t="str">
        <f>IF($C$5:$C$68="ATA",$J$5:$J$68,"")</f>
        <v/>
      </c>
      <c r="AV5" s="54"/>
      <c r="AW5" s="54" t="str">
        <f t="shared" ref="AW5:AW52" si="4">IF(E5&gt;=$AL$58,AR5,"")</f>
        <v/>
      </c>
      <c r="AX5" s="54" t="str">
        <f t="shared" ref="AX5:AX52" si="5">IF(E5&gt;=$AL$58,AS5,"")</f>
        <v/>
      </c>
      <c r="AY5" s="54">
        <f t="shared" ref="AY5:AY52" si="6">IF(E5&gt;=$AL$58,AT5,"")</f>
        <v>6.0820999999999996</v>
      </c>
      <c r="AZ5" s="54" t="str">
        <f t="shared" ref="AZ5:AZ52" si="7">IF(E5&gt;=$AL$58,AU5,"")</f>
        <v/>
      </c>
      <c r="BC5" s="5">
        <f t="shared" ref="BC5:BC55" si="8">IF(E5&gt;=AL$58,J5,"")</f>
        <v>6.0820999999999996</v>
      </c>
      <c r="BE5" s="47">
        <v>1</v>
      </c>
      <c r="BF5" s="101" t="str">
        <f t="shared" ref="BF5:BF52" si="9">INDEX($B$5:$R$68,MATCH(BI5,$R$5:$R$68,0),1)</f>
        <v>João Vitor Nunes</v>
      </c>
      <c r="BG5" s="102">
        <f t="shared" ref="BG5:BG52" si="10">IFERROR(LARGE($H$5:$H$68,BE5),"-")</f>
        <v>132</v>
      </c>
      <c r="BH5">
        <f>COUNTIF(BG5:$BG$5,BG5)</f>
        <v>1</v>
      </c>
      <c r="BI5" t="str">
        <f>BG5&amp;BH5</f>
        <v>1321</v>
      </c>
      <c r="BK5" s="47">
        <v>1</v>
      </c>
      <c r="BL5" s="101" t="str">
        <f t="shared" ref="BL5:BL52" si="11">INDEX($B$5:$T$68,MATCH(BO5,$T$5:$T$68,0),1)</f>
        <v>Gabriel Andrade</v>
      </c>
      <c r="BM5" s="102">
        <f t="shared" ref="BM5:BM52" si="12">IFERROR(LARGE($I$5:$I$68,BK5),"-")</f>
        <v>17</v>
      </c>
      <c r="BN5">
        <f>COUNTIF(BM5:$BM$5,BM5)</f>
        <v>1</v>
      </c>
      <c r="BO5" t="str">
        <f>BM5&amp;BN5</f>
        <v>171</v>
      </c>
    </row>
    <row r="6" spans="1:67" x14ac:dyDescent="0.25">
      <c r="B6" s="21" t="str">
        <f>JAN!B6</f>
        <v>Allan Borela</v>
      </c>
      <c r="C6" s="105" t="s">
        <v>59</v>
      </c>
      <c r="D6" s="159">
        <f>SUM(JAN:DEZ!AB6)</f>
        <v>20</v>
      </c>
      <c r="E6" s="7">
        <f t="shared" ref="E6:E52" si="13">D6/45</f>
        <v>0.44444444444444442</v>
      </c>
      <c r="F6" s="3">
        <f>SUM(JAN:DEZ!AC6)</f>
        <v>8</v>
      </c>
      <c r="G6" s="3">
        <f>SUM(JAN:DEZ!AD6)</f>
        <v>14</v>
      </c>
      <c r="H6" s="3">
        <f>SUM(JAN:DEZ!AE6)</f>
        <v>22</v>
      </c>
      <c r="I6" s="3">
        <f>SUM(JAN:DEZ!AF6)</f>
        <v>9</v>
      </c>
      <c r="J6" s="10">
        <f>IFERROR(AVERAGE(JAN:DEZ!AG6),"-")</f>
        <v>4.9390476190476189</v>
      </c>
      <c r="K6" s="72">
        <f>COUNTIF(F$5:$F6,F6)</f>
        <v>1</v>
      </c>
      <c r="L6" s="40" t="str">
        <f t="shared" ref="L6:L50" si="14">F6&amp;K6</f>
        <v>81</v>
      </c>
      <c r="M6" s="40">
        <f>COUNTIF(G$5:$G6,G6)</f>
        <v>1</v>
      </c>
      <c r="N6" s="40" t="str">
        <f t="shared" ref="N6:N50" si="15">G6&amp;M6</f>
        <v>141</v>
      </c>
      <c r="O6" s="40">
        <f>COUNTIF(E$5:$E6,E6)</f>
        <v>1</v>
      </c>
      <c r="P6" s="130" t="str">
        <f t="shared" ref="P6:P50" si="16">E6&amp;O6</f>
        <v>0,4444444444444441</v>
      </c>
      <c r="Q6" s="130">
        <f>COUNTIF(H$5:$H6,H6)</f>
        <v>1</v>
      </c>
      <c r="R6" s="130" t="str">
        <f t="shared" ref="R6:R50" si="17">H6&amp;Q6</f>
        <v>221</v>
      </c>
      <c r="S6" s="130">
        <f>COUNTIF(I$5:$I6,I6)</f>
        <v>1</v>
      </c>
      <c r="T6" s="84" t="str">
        <f t="shared" ref="T6:T50" si="18">I6&amp;S6</f>
        <v>91</v>
      </c>
      <c r="V6" s="170">
        <v>2</v>
      </c>
      <c r="W6" s="172" t="str">
        <f t="shared" ref="W6:W24" si="19">INDEX($B$5:$L$100,MATCH(Z6,$L$5:$L$100,0),1)</f>
        <v>Gabriel Andrade</v>
      </c>
      <c r="X6" s="180">
        <f t="shared" ref="X6:X24" si="20">LARGE($F$5:$F$100,V6)</f>
        <v>82</v>
      </c>
      <c r="Y6" s="33">
        <f>COUNTIF(X$5:$X6,X6)</f>
        <v>1</v>
      </c>
      <c r="Z6" s="33" t="str">
        <f t="shared" ref="Z6:Z24" si="21">X6&amp;Y6</f>
        <v>821</v>
      </c>
      <c r="AB6" s="170">
        <v>2</v>
      </c>
      <c r="AC6" s="172" t="str">
        <f t="shared" ref="AC6:AC24" si="22">INDEX($B$5:$N$100,MATCH(AF6,$N$5:$N$100,0),1)</f>
        <v>Pedro Dias</v>
      </c>
      <c r="AD6" s="180">
        <f t="shared" ref="AD6:AD24" si="23">IFERROR(LARGE($G$5:$G$100,AB6),"-")</f>
        <v>56</v>
      </c>
      <c r="AE6" s="39">
        <f>COUNTIF(AD$5:$AD6,AD6)</f>
        <v>1</v>
      </c>
      <c r="AF6" s="39" t="str">
        <f t="shared" ref="AF6:AF24" si="24">AD6&amp;AE6</f>
        <v>561</v>
      </c>
      <c r="AG6" s="39"/>
      <c r="AH6" s="51">
        <v>2</v>
      </c>
      <c r="AI6" s="46" t="str">
        <f t="shared" si="0"/>
        <v>Marcelo Castro</v>
      </c>
      <c r="AJ6" s="43">
        <f t="shared" si="1"/>
        <v>6.5958333333333332</v>
      </c>
      <c r="AK6" s="74"/>
      <c r="AL6" s="51">
        <v>2</v>
      </c>
      <c r="AM6" s="46" t="str">
        <f t="shared" si="2"/>
        <v>Meurin</v>
      </c>
      <c r="AN6" s="88">
        <f t="shared" si="3"/>
        <v>0.8666666666666667</v>
      </c>
      <c r="AO6" s="76">
        <f>COUNTIF(AN$5:$AN6,AN6)</f>
        <v>1</v>
      </c>
      <c r="AP6" s="76" t="str">
        <f t="shared" ref="AP6:AP49" si="25">AN6&amp;AO6</f>
        <v>0,8666666666666671</v>
      </c>
      <c r="AR6" s="54" t="str">
        <f t="shared" ref="AR6:AR56" si="26">IF($C$5:$C$68="GOL",$J$5:$J$68,"")</f>
        <v/>
      </c>
      <c r="AS6" s="55" t="str">
        <f t="shared" ref="AS6:AS56" si="27">IF($C$5:$C$68="ZAG",$J$5:$J$68,"")</f>
        <v/>
      </c>
      <c r="AT6" s="54">
        <f t="shared" ref="AT6:AT56" si="28">IF($C$5:$C$68="MEI",$J$5:$J$68,"")</f>
        <v>4.9390476190476189</v>
      </c>
      <c r="AU6" s="54" t="str">
        <f t="shared" ref="AU6:AU56" si="29">IF($C$5:$C$68="ATA",$J$5:$J$68,"")</f>
        <v/>
      </c>
      <c r="AV6" s="54"/>
      <c r="AW6" s="54" t="str">
        <f t="shared" si="4"/>
        <v/>
      </c>
      <c r="AX6" s="54" t="str">
        <f t="shared" si="5"/>
        <v/>
      </c>
      <c r="AY6" s="54">
        <f t="shared" si="6"/>
        <v>4.9390476190476189</v>
      </c>
      <c r="AZ6" s="54" t="str">
        <f t="shared" si="7"/>
        <v/>
      </c>
      <c r="BC6" s="5">
        <f t="shared" si="8"/>
        <v>4.9390476190476189</v>
      </c>
      <c r="BE6" s="51">
        <v>2</v>
      </c>
      <c r="BF6" s="46" t="str">
        <f t="shared" si="9"/>
        <v>Gabriel Andrade</v>
      </c>
      <c r="BG6" s="41">
        <f t="shared" si="10"/>
        <v>122</v>
      </c>
      <c r="BH6">
        <f>COUNTIF(BG$5:$BG6,BG6)</f>
        <v>1</v>
      </c>
      <c r="BI6" t="str">
        <f t="shared" ref="BI6:BI48" si="30">BG6&amp;BH6</f>
        <v>1221</v>
      </c>
      <c r="BK6" s="51">
        <v>2</v>
      </c>
      <c r="BL6" s="46" t="str">
        <f t="shared" si="11"/>
        <v>Douglas DG (GK)</v>
      </c>
      <c r="BM6" s="41">
        <f t="shared" si="12"/>
        <v>13</v>
      </c>
      <c r="BN6">
        <f>COUNTIF(BM$5:$BM6,BM6)</f>
        <v>1</v>
      </c>
      <c r="BO6" t="str">
        <f t="shared" ref="BO6:BO49" si="31">BM6&amp;BN6</f>
        <v>131</v>
      </c>
    </row>
    <row r="7" spans="1:67" x14ac:dyDescent="0.25">
      <c r="B7" s="21" t="str">
        <f>JAN!B7</f>
        <v>Breno (GK)</v>
      </c>
      <c r="C7" s="105" t="s">
        <v>43</v>
      </c>
      <c r="D7" s="159">
        <f>SUM(JAN:DEZ!AB7)</f>
        <v>5</v>
      </c>
      <c r="E7" s="7">
        <f t="shared" si="13"/>
        <v>0.1111111111111111</v>
      </c>
      <c r="F7" s="3">
        <f>SUM(JAN:DEZ!AC7)</f>
        <v>0</v>
      </c>
      <c r="G7" s="3">
        <f>SUM(JAN:DEZ!AD7)</f>
        <v>0</v>
      </c>
      <c r="H7" s="3">
        <f>SUM(JAN:DEZ!AE7)</f>
        <v>0</v>
      </c>
      <c r="I7" s="3">
        <f>SUM(JAN:DEZ!AF7)</f>
        <v>3</v>
      </c>
      <c r="J7" s="10">
        <f>IFERROR(AVERAGE(JAN:DEZ!AG7),"-")</f>
        <v>6.1183333333333332</v>
      </c>
      <c r="K7" s="72">
        <f>COUNTIF(F$5:$F7,F7)</f>
        <v>1</v>
      </c>
      <c r="L7" s="40" t="str">
        <f t="shared" si="14"/>
        <v>01</v>
      </c>
      <c r="M7" s="40">
        <f>COUNTIF(G$5:$G7,G7)</f>
        <v>1</v>
      </c>
      <c r="N7" s="40" t="str">
        <f t="shared" si="15"/>
        <v>01</v>
      </c>
      <c r="O7" s="40">
        <f>COUNTIF(E$5:$E7,E7)</f>
        <v>1</v>
      </c>
      <c r="P7" s="130" t="str">
        <f t="shared" si="16"/>
        <v>0,1111111111111111</v>
      </c>
      <c r="Q7" s="130">
        <f>COUNTIF(H$5:$H7,H7)</f>
        <v>1</v>
      </c>
      <c r="R7" s="130" t="str">
        <f t="shared" si="17"/>
        <v>01</v>
      </c>
      <c r="S7" s="130">
        <f>COUNTIF(I$5:$I7,I7)</f>
        <v>1</v>
      </c>
      <c r="T7" s="84" t="str">
        <f t="shared" si="18"/>
        <v>31</v>
      </c>
      <c r="V7" s="175">
        <v>3</v>
      </c>
      <c r="W7" s="179" t="str">
        <f t="shared" si="19"/>
        <v>Matheus Gomes</v>
      </c>
      <c r="X7" s="181">
        <f t="shared" si="20"/>
        <v>69</v>
      </c>
      <c r="Y7" s="33">
        <f>COUNTIF(X$5:$X7,X7)</f>
        <v>1</v>
      </c>
      <c r="Z7" s="33" t="str">
        <f t="shared" si="21"/>
        <v>691</v>
      </c>
      <c r="AB7" s="175">
        <v>3</v>
      </c>
      <c r="AC7" s="179" t="str">
        <f t="shared" si="22"/>
        <v>José Guilherme</v>
      </c>
      <c r="AD7" s="181">
        <f t="shared" si="23"/>
        <v>43</v>
      </c>
      <c r="AE7" s="39">
        <f>COUNTIF(AD$5:$AD7,AD7)</f>
        <v>1</v>
      </c>
      <c r="AF7" s="39" t="str">
        <f t="shared" si="24"/>
        <v>431</v>
      </c>
      <c r="AG7" s="39"/>
      <c r="AH7" s="48">
        <v>3</v>
      </c>
      <c r="AI7" s="45" t="str">
        <f t="shared" si="0"/>
        <v>Gabriel Andrade</v>
      </c>
      <c r="AJ7" s="44">
        <f t="shared" si="1"/>
        <v>6.4784499999999996</v>
      </c>
      <c r="AK7" s="75"/>
      <c r="AL7" s="48">
        <v>3</v>
      </c>
      <c r="AM7" s="45" t="str">
        <f t="shared" si="2"/>
        <v>João Vitor Nunes</v>
      </c>
      <c r="AN7" s="89">
        <f t="shared" si="3"/>
        <v>0.84444444444444444</v>
      </c>
      <c r="AO7" s="76">
        <f>COUNTIF(AN$5:$AN7,AN7)</f>
        <v>1</v>
      </c>
      <c r="AP7" s="76" t="str">
        <f t="shared" si="25"/>
        <v>0,8444444444444441</v>
      </c>
      <c r="AR7" s="54">
        <f t="shared" si="26"/>
        <v>6.1183333333333332</v>
      </c>
      <c r="AS7" s="55" t="str">
        <f t="shared" si="27"/>
        <v/>
      </c>
      <c r="AT7" s="54" t="str">
        <f t="shared" si="28"/>
        <v/>
      </c>
      <c r="AU7" s="54" t="str">
        <f t="shared" si="29"/>
        <v/>
      </c>
      <c r="AV7" s="54"/>
      <c r="AW7" s="54" t="str">
        <f t="shared" si="4"/>
        <v/>
      </c>
      <c r="AX7" s="54" t="str">
        <f t="shared" si="5"/>
        <v/>
      </c>
      <c r="AY7" s="54" t="str">
        <f t="shared" si="6"/>
        <v/>
      </c>
      <c r="AZ7" s="54" t="str">
        <f t="shared" si="7"/>
        <v/>
      </c>
      <c r="BC7" s="5" t="str">
        <f t="shared" si="8"/>
        <v/>
      </c>
      <c r="BE7" s="48">
        <v>3</v>
      </c>
      <c r="BF7" s="45" t="str">
        <f t="shared" si="9"/>
        <v>Matheus Gomes</v>
      </c>
      <c r="BG7" s="42">
        <f t="shared" si="10"/>
        <v>110</v>
      </c>
      <c r="BH7">
        <f>COUNTIF(BG$5:$BG7,BG7)</f>
        <v>1</v>
      </c>
      <c r="BI7" t="str">
        <f t="shared" si="30"/>
        <v>1101</v>
      </c>
      <c r="BK7" s="48">
        <v>3</v>
      </c>
      <c r="BL7" s="45" t="str">
        <f t="shared" si="11"/>
        <v>Guilherme Santos (GK)</v>
      </c>
      <c r="BM7" s="42">
        <f t="shared" si="12"/>
        <v>13</v>
      </c>
      <c r="BN7">
        <f>COUNTIF(BM$5:$BM7,BM7)</f>
        <v>2</v>
      </c>
      <c r="BO7" t="str">
        <f t="shared" si="31"/>
        <v>132</v>
      </c>
    </row>
    <row r="8" spans="1:67" x14ac:dyDescent="0.25">
      <c r="B8" s="21" t="str">
        <f>JAN!B8</f>
        <v>Daniel Medeiros (GK)</v>
      </c>
      <c r="C8" s="105" t="s">
        <v>43</v>
      </c>
      <c r="D8" s="159">
        <f>SUM(JAN:DEZ!AB8)</f>
        <v>5</v>
      </c>
      <c r="E8" s="7">
        <f t="shared" si="13"/>
        <v>0.1111111111111111</v>
      </c>
      <c r="F8" s="3">
        <f>SUM(JAN:DEZ!AC8)</f>
        <v>0</v>
      </c>
      <c r="G8" s="3">
        <f>SUM(JAN:DEZ!AD8)</f>
        <v>1</v>
      </c>
      <c r="H8" s="3">
        <f>SUM(JAN:DEZ!AE8)</f>
        <v>1</v>
      </c>
      <c r="I8" s="3">
        <f>SUM(JAN:DEZ!AF8)</f>
        <v>3</v>
      </c>
      <c r="J8" s="10">
        <f>IFERROR(AVERAGE(JAN:DEZ!AG8),"-")</f>
        <v>5.7200000000000006</v>
      </c>
      <c r="K8" s="72">
        <f>COUNTIF(F$5:$F8,F8)</f>
        <v>2</v>
      </c>
      <c r="L8" s="40" t="str">
        <f t="shared" si="14"/>
        <v>02</v>
      </c>
      <c r="M8" s="40">
        <f>COUNTIF(G$5:$G8,G8)</f>
        <v>1</v>
      </c>
      <c r="N8" s="40" t="str">
        <f t="shared" si="15"/>
        <v>11</v>
      </c>
      <c r="O8" s="40">
        <f>COUNTIF(E$5:$E8,E8)</f>
        <v>2</v>
      </c>
      <c r="P8" s="130" t="str">
        <f t="shared" si="16"/>
        <v>0,1111111111111112</v>
      </c>
      <c r="Q8" s="130">
        <f>COUNTIF(H$5:$H8,H8)</f>
        <v>1</v>
      </c>
      <c r="R8" s="130" t="str">
        <f t="shared" si="17"/>
        <v>11</v>
      </c>
      <c r="S8" s="130">
        <f>COUNTIF(I$5:$I8,I8)</f>
        <v>2</v>
      </c>
      <c r="T8" s="84" t="str">
        <f t="shared" si="18"/>
        <v>32</v>
      </c>
      <c r="V8" s="49">
        <v>4</v>
      </c>
      <c r="W8" s="30" t="str">
        <f t="shared" si="19"/>
        <v>José Guilherme</v>
      </c>
      <c r="X8" s="31">
        <f t="shared" si="20"/>
        <v>62</v>
      </c>
      <c r="Y8" s="33">
        <f>COUNTIF(X$5:$X8,X8)</f>
        <v>1</v>
      </c>
      <c r="Z8" s="33" t="str">
        <f t="shared" si="21"/>
        <v>621</v>
      </c>
      <c r="AA8" s="39"/>
      <c r="AB8" s="49">
        <v>4</v>
      </c>
      <c r="AC8" s="30" t="str">
        <f t="shared" si="22"/>
        <v>Leo Starling</v>
      </c>
      <c r="AD8" s="31">
        <f t="shared" si="23"/>
        <v>41</v>
      </c>
      <c r="AE8" s="39">
        <f>COUNTIF(AD$5:$AD8,AD8)</f>
        <v>1</v>
      </c>
      <c r="AF8" s="39" t="str">
        <f t="shared" si="24"/>
        <v>411</v>
      </c>
      <c r="AG8" s="39"/>
      <c r="AH8" s="49">
        <v>4</v>
      </c>
      <c r="AI8" s="30" t="str">
        <f t="shared" si="0"/>
        <v>Guilherme Santos (GK)</v>
      </c>
      <c r="AJ8" s="32">
        <f t="shared" si="1"/>
        <v>6.3762121212121201</v>
      </c>
      <c r="AK8" s="56"/>
      <c r="AL8" s="158">
        <v>4</v>
      </c>
      <c r="AM8" s="30" t="str">
        <f t="shared" si="2"/>
        <v>Gabriel Andrade</v>
      </c>
      <c r="AN8" s="86">
        <f t="shared" si="3"/>
        <v>0.82222222222222219</v>
      </c>
      <c r="AO8" s="76">
        <f>COUNTIF(AN$5:$AN8,AN8)</f>
        <v>1</v>
      </c>
      <c r="AP8" s="76" t="str">
        <f t="shared" si="25"/>
        <v>0,8222222222222221</v>
      </c>
      <c r="AR8" s="54">
        <f t="shared" si="26"/>
        <v>5.7200000000000006</v>
      </c>
      <c r="AS8" s="55" t="str">
        <f t="shared" si="27"/>
        <v/>
      </c>
      <c r="AT8" s="54" t="str">
        <f t="shared" si="28"/>
        <v/>
      </c>
      <c r="AU8" s="54" t="str">
        <f t="shared" si="29"/>
        <v/>
      </c>
      <c r="AV8" s="54"/>
      <c r="AW8" s="54" t="str">
        <f t="shared" si="4"/>
        <v/>
      </c>
      <c r="AX8" s="54" t="str">
        <f t="shared" si="5"/>
        <v/>
      </c>
      <c r="AY8" s="54" t="str">
        <f t="shared" si="6"/>
        <v/>
      </c>
      <c r="AZ8" s="54" t="str">
        <f t="shared" si="7"/>
        <v/>
      </c>
      <c r="BC8" s="5" t="str">
        <f t="shared" si="8"/>
        <v/>
      </c>
      <c r="BE8" s="158">
        <v>4</v>
      </c>
      <c r="BF8" s="30" t="str">
        <f t="shared" si="9"/>
        <v>José Guilherme</v>
      </c>
      <c r="BG8" s="31">
        <f t="shared" si="10"/>
        <v>105</v>
      </c>
      <c r="BH8">
        <f>COUNTIF(BG$5:$BG8,BG8)</f>
        <v>1</v>
      </c>
      <c r="BI8" t="str">
        <f t="shared" si="30"/>
        <v>1051</v>
      </c>
      <c r="BK8" s="158">
        <v>4</v>
      </c>
      <c r="BL8" s="30" t="str">
        <f t="shared" si="11"/>
        <v>João Vitor Nunes</v>
      </c>
      <c r="BM8" s="31">
        <f t="shared" si="12"/>
        <v>13</v>
      </c>
      <c r="BN8">
        <f>COUNTIF(BM$5:$BM8,BM8)</f>
        <v>3</v>
      </c>
      <c r="BO8" t="str">
        <f t="shared" si="31"/>
        <v>133</v>
      </c>
    </row>
    <row r="9" spans="1:67" x14ac:dyDescent="0.25">
      <c r="B9" s="21" t="str">
        <f>JAN!B9</f>
        <v>David Melo</v>
      </c>
      <c r="C9" s="105" t="s">
        <v>61</v>
      </c>
      <c r="D9" s="159">
        <f>SUM(JAN:DEZ!AB9)</f>
        <v>17</v>
      </c>
      <c r="E9" s="7">
        <f t="shared" si="13"/>
        <v>0.37777777777777777</v>
      </c>
      <c r="F9" s="3">
        <f>SUM(JAN:DEZ!AC9)</f>
        <v>14</v>
      </c>
      <c r="G9" s="3">
        <f>SUM(JAN:DEZ!AD9)</f>
        <v>8</v>
      </c>
      <c r="H9" s="3">
        <f>SUM(JAN:DEZ!AE9)</f>
        <v>22</v>
      </c>
      <c r="I9" s="3">
        <f>SUM(JAN:DEZ!AF9)</f>
        <v>6</v>
      </c>
      <c r="J9" s="10">
        <f>IFERROR(AVERAGE(JAN:DEZ!AG9),"-")</f>
        <v>5.8070370370370377</v>
      </c>
      <c r="K9" s="72">
        <f>COUNTIF(F$5:$F9,F9)</f>
        <v>1</v>
      </c>
      <c r="L9" s="40" t="str">
        <f t="shared" si="14"/>
        <v>141</v>
      </c>
      <c r="M9" s="40">
        <f>COUNTIF(G$5:$G9,G9)</f>
        <v>1</v>
      </c>
      <c r="N9" s="40" t="str">
        <f t="shared" si="15"/>
        <v>81</v>
      </c>
      <c r="O9" s="40">
        <f>COUNTIF(E$5:$E9,E9)</f>
        <v>1</v>
      </c>
      <c r="P9" s="130" t="str">
        <f t="shared" si="16"/>
        <v>0,3777777777777781</v>
      </c>
      <c r="Q9" s="130">
        <f>COUNTIF(H$5:$H9,H9)</f>
        <v>2</v>
      </c>
      <c r="R9" s="130" t="str">
        <f t="shared" si="17"/>
        <v>222</v>
      </c>
      <c r="S9" s="130">
        <f>COUNTIF(I$5:$I9,I9)</f>
        <v>1</v>
      </c>
      <c r="T9" s="84" t="str">
        <f t="shared" si="18"/>
        <v>61</v>
      </c>
      <c r="V9" s="49">
        <v>5</v>
      </c>
      <c r="W9" s="30" t="str">
        <f t="shared" si="19"/>
        <v>Lucas Leite - Coxinha</v>
      </c>
      <c r="X9" s="31">
        <f t="shared" si="20"/>
        <v>51</v>
      </c>
      <c r="Y9" s="33">
        <f>COUNTIF(X$5:$X9,X9)</f>
        <v>1</v>
      </c>
      <c r="Z9" s="33" t="str">
        <f t="shared" si="21"/>
        <v>511</v>
      </c>
      <c r="AA9" s="39"/>
      <c r="AB9" s="49">
        <v>5</v>
      </c>
      <c r="AC9" s="30" t="str">
        <f t="shared" si="22"/>
        <v>Matheus Gomes</v>
      </c>
      <c r="AD9" s="31">
        <f t="shared" si="23"/>
        <v>41</v>
      </c>
      <c r="AE9" s="39">
        <f>COUNTIF(AD$5:$AD9,AD9)</f>
        <v>2</v>
      </c>
      <c r="AF9" s="39" t="str">
        <f t="shared" si="24"/>
        <v>412</v>
      </c>
      <c r="AG9" s="39"/>
      <c r="AH9" s="49">
        <v>5</v>
      </c>
      <c r="AI9" s="30" t="str">
        <f t="shared" si="0"/>
        <v>Gabriel Cosendey</v>
      </c>
      <c r="AJ9" s="32">
        <f t="shared" si="1"/>
        <v>6.2420833333333334</v>
      </c>
      <c r="AK9" s="56"/>
      <c r="AL9" s="158">
        <v>5</v>
      </c>
      <c r="AM9" s="30" t="str">
        <f t="shared" si="2"/>
        <v>Pierre Paulo</v>
      </c>
      <c r="AN9" s="86">
        <f t="shared" si="3"/>
        <v>0.82222222222222219</v>
      </c>
      <c r="AO9" s="76">
        <f>COUNTIF(AN$5:$AN9,AN9)</f>
        <v>2</v>
      </c>
      <c r="AP9" s="76" t="str">
        <f t="shared" si="25"/>
        <v>0,8222222222222222</v>
      </c>
      <c r="AR9" s="54" t="str">
        <f t="shared" si="26"/>
        <v/>
      </c>
      <c r="AS9" s="55">
        <f t="shared" si="27"/>
        <v>5.8070370370370377</v>
      </c>
      <c r="AT9" s="54" t="str">
        <f t="shared" si="28"/>
        <v/>
      </c>
      <c r="AU9" s="54" t="str">
        <f t="shared" si="29"/>
        <v/>
      </c>
      <c r="AV9" s="54"/>
      <c r="AW9" s="54" t="str">
        <f t="shared" si="4"/>
        <v/>
      </c>
      <c r="AX9" s="54">
        <f t="shared" si="5"/>
        <v>5.8070370370370377</v>
      </c>
      <c r="AY9" s="54" t="str">
        <f t="shared" si="6"/>
        <v/>
      </c>
      <c r="AZ9" s="54" t="str">
        <f t="shared" si="7"/>
        <v/>
      </c>
      <c r="BC9" s="5">
        <f t="shared" si="8"/>
        <v>5.8070370370370377</v>
      </c>
      <c r="BE9" s="158">
        <v>5</v>
      </c>
      <c r="BF9" s="30" t="str">
        <f t="shared" si="9"/>
        <v>Pedro Dias</v>
      </c>
      <c r="BG9" s="31">
        <f t="shared" si="10"/>
        <v>105</v>
      </c>
      <c r="BH9">
        <f>COUNTIF(BG$5:$BG9,BG9)</f>
        <v>2</v>
      </c>
      <c r="BI9" t="str">
        <f t="shared" si="30"/>
        <v>1052</v>
      </c>
      <c r="BK9" s="158">
        <v>5</v>
      </c>
      <c r="BL9" s="30" t="str">
        <f t="shared" si="11"/>
        <v>Leo Starling</v>
      </c>
      <c r="BM9" s="31">
        <f t="shared" si="12"/>
        <v>12</v>
      </c>
      <c r="BN9">
        <f>COUNTIF(BM$5:$BM9,BM9)</f>
        <v>1</v>
      </c>
      <c r="BO9" t="str">
        <f t="shared" si="31"/>
        <v>121</v>
      </c>
    </row>
    <row r="10" spans="1:67" x14ac:dyDescent="0.25">
      <c r="B10" s="21" t="str">
        <f>JAN!B10</f>
        <v>Douglas DG (GK)</v>
      </c>
      <c r="C10" s="105" t="s">
        <v>43</v>
      </c>
      <c r="D10" s="159">
        <f>SUM(JAN:DEZ!AB10)</f>
        <v>26</v>
      </c>
      <c r="E10" s="7">
        <f t="shared" si="13"/>
        <v>0.57777777777777772</v>
      </c>
      <c r="F10" s="3">
        <f>SUM(JAN:DEZ!AC10)</f>
        <v>0</v>
      </c>
      <c r="G10" s="3">
        <f>SUM(JAN:DEZ!AD10)</f>
        <v>3</v>
      </c>
      <c r="H10" s="3">
        <f>SUM(JAN:DEZ!AE10)</f>
        <v>3</v>
      </c>
      <c r="I10" s="3">
        <f>SUM(JAN:DEZ!AF10)</f>
        <v>13</v>
      </c>
      <c r="J10" s="10">
        <f>IFERROR(AVERAGE(JAN:DEZ!AG10),"-")</f>
        <v>6.0192592592592611</v>
      </c>
      <c r="K10" s="72">
        <f>COUNTIF(F$5:$F10,F10)</f>
        <v>3</v>
      </c>
      <c r="L10" s="40" t="str">
        <f t="shared" si="14"/>
        <v>03</v>
      </c>
      <c r="M10" s="40">
        <f>COUNTIF(G$5:$G10,G10)</f>
        <v>1</v>
      </c>
      <c r="N10" s="40" t="str">
        <f t="shared" si="15"/>
        <v>31</v>
      </c>
      <c r="O10" s="40">
        <f>COUNTIF(E$5:$E10,E10)</f>
        <v>1</v>
      </c>
      <c r="P10" s="130" t="str">
        <f t="shared" si="16"/>
        <v>0,5777777777777781</v>
      </c>
      <c r="Q10" s="130">
        <f>COUNTIF(H$5:$H10,H10)</f>
        <v>1</v>
      </c>
      <c r="R10" s="130" t="str">
        <f t="shared" si="17"/>
        <v>31</v>
      </c>
      <c r="S10" s="130">
        <f>COUNTIF(I$5:$I10,I10)</f>
        <v>1</v>
      </c>
      <c r="T10" s="84" t="str">
        <f t="shared" si="18"/>
        <v>131</v>
      </c>
      <c r="V10" s="49">
        <v>6</v>
      </c>
      <c r="W10" s="30" t="str">
        <f t="shared" si="19"/>
        <v>Alberto Henrique</v>
      </c>
      <c r="X10" s="31">
        <f t="shared" si="20"/>
        <v>49</v>
      </c>
      <c r="Y10" s="33">
        <f>COUNTIF(X$5:$X10,X10)</f>
        <v>1</v>
      </c>
      <c r="Z10" s="33" t="str">
        <f t="shared" si="21"/>
        <v>491</v>
      </c>
      <c r="AA10" s="39"/>
      <c r="AB10" s="49">
        <v>6</v>
      </c>
      <c r="AC10" s="30" t="str">
        <f t="shared" si="22"/>
        <v>Gabriel Andrade</v>
      </c>
      <c r="AD10" s="31">
        <f t="shared" si="23"/>
        <v>40</v>
      </c>
      <c r="AE10" s="39">
        <f>COUNTIF(AD$5:$AD10,AD10)</f>
        <v>1</v>
      </c>
      <c r="AF10" s="39" t="str">
        <f t="shared" si="24"/>
        <v>401</v>
      </c>
      <c r="AG10" s="39"/>
      <c r="AH10" s="49">
        <v>6</v>
      </c>
      <c r="AI10" s="30" t="str">
        <f t="shared" si="0"/>
        <v>Lucas Bertolace</v>
      </c>
      <c r="AJ10" s="32">
        <f t="shared" si="1"/>
        <v>6.1950000000000003</v>
      </c>
      <c r="AK10" s="56"/>
      <c r="AL10" s="158">
        <v>6</v>
      </c>
      <c r="AM10" s="30" t="str">
        <f t="shared" si="2"/>
        <v>Ruan Amorim</v>
      </c>
      <c r="AN10" s="86">
        <f t="shared" si="3"/>
        <v>0.82222222222222219</v>
      </c>
      <c r="AO10" s="76">
        <f>COUNTIF(AN$5:$AN10,AN10)</f>
        <v>3</v>
      </c>
      <c r="AP10" s="76" t="str">
        <f t="shared" si="25"/>
        <v>0,8222222222222223</v>
      </c>
      <c r="AR10" s="54">
        <f t="shared" si="26"/>
        <v>6.0192592592592611</v>
      </c>
      <c r="AS10" s="55" t="str">
        <f t="shared" si="27"/>
        <v/>
      </c>
      <c r="AT10" s="54" t="str">
        <f t="shared" si="28"/>
        <v/>
      </c>
      <c r="AU10" s="54" t="str">
        <f t="shared" si="29"/>
        <v/>
      </c>
      <c r="AV10" s="54"/>
      <c r="AW10" s="54">
        <f t="shared" si="4"/>
        <v>6.0192592592592611</v>
      </c>
      <c r="AX10" s="54" t="str">
        <f t="shared" si="5"/>
        <v/>
      </c>
      <c r="AY10" s="54" t="str">
        <f t="shared" si="6"/>
        <v/>
      </c>
      <c r="AZ10" s="54" t="str">
        <f t="shared" si="7"/>
        <v/>
      </c>
      <c r="BC10" s="5">
        <f t="shared" si="8"/>
        <v>6.0192592592592611</v>
      </c>
      <c r="BE10" s="158">
        <v>6</v>
      </c>
      <c r="BF10" s="30" t="str">
        <f t="shared" si="9"/>
        <v>Meurin</v>
      </c>
      <c r="BG10" s="31">
        <f t="shared" si="10"/>
        <v>93</v>
      </c>
      <c r="BH10">
        <f>COUNTIF(BG$5:$BG10,BG10)</f>
        <v>1</v>
      </c>
      <c r="BI10" t="str">
        <f t="shared" si="30"/>
        <v>931</v>
      </c>
      <c r="BK10" s="158">
        <v>6</v>
      </c>
      <c r="BL10" s="30" t="str">
        <f t="shared" si="11"/>
        <v>Pedro Dias</v>
      </c>
      <c r="BM10" s="31">
        <f t="shared" si="12"/>
        <v>12</v>
      </c>
      <c r="BN10">
        <f>COUNTIF(BM$5:$BM10,BM10)</f>
        <v>2</v>
      </c>
      <c r="BO10" t="str">
        <f t="shared" si="31"/>
        <v>122</v>
      </c>
    </row>
    <row r="11" spans="1:67" x14ac:dyDescent="0.25">
      <c r="B11" s="21" t="str">
        <f>JAN!B11</f>
        <v>Felipe Horsts</v>
      </c>
      <c r="C11" s="105" t="s">
        <v>60</v>
      </c>
      <c r="D11" s="159">
        <f>SUM(JAN:DEZ!AB11)</f>
        <v>18</v>
      </c>
      <c r="E11" s="7">
        <f t="shared" si="13"/>
        <v>0.4</v>
      </c>
      <c r="F11" s="3">
        <f>SUM(JAN:DEZ!AC11)</f>
        <v>41</v>
      </c>
      <c r="G11" s="3">
        <f>SUM(JAN:DEZ!AD11)</f>
        <v>33</v>
      </c>
      <c r="H11" s="3">
        <f>SUM(JAN:DEZ!AE11)</f>
        <v>74</v>
      </c>
      <c r="I11" s="3">
        <f>SUM(JAN:DEZ!AF11)</f>
        <v>9</v>
      </c>
      <c r="J11" s="10">
        <f>IFERROR(AVERAGE(JAN:DEZ!AG11),"-")</f>
        <v>6.6021428571428578</v>
      </c>
      <c r="K11" s="72">
        <f>COUNTIF(F$5:$F11,F11)</f>
        <v>1</v>
      </c>
      <c r="L11" s="40" t="str">
        <f t="shared" si="14"/>
        <v>411</v>
      </c>
      <c r="M11" s="40">
        <f>COUNTIF(G$5:$G11,G11)</f>
        <v>2</v>
      </c>
      <c r="N11" s="40" t="str">
        <f t="shared" si="15"/>
        <v>332</v>
      </c>
      <c r="O11" s="40">
        <f>COUNTIF(E$5:$E11,E11)</f>
        <v>1</v>
      </c>
      <c r="P11" s="130" t="str">
        <f t="shared" si="16"/>
        <v>0,41</v>
      </c>
      <c r="Q11" s="130">
        <f>COUNTIF(H$5:$H11,H11)</f>
        <v>1</v>
      </c>
      <c r="R11" s="130" t="str">
        <f t="shared" si="17"/>
        <v>741</v>
      </c>
      <c r="S11" s="130">
        <f>COUNTIF(I$5:$I11,I11)</f>
        <v>2</v>
      </c>
      <c r="T11" s="84" t="str">
        <f t="shared" si="18"/>
        <v>92</v>
      </c>
      <c r="V11" s="49">
        <v>7</v>
      </c>
      <c r="W11" s="30" t="str">
        <f t="shared" si="19"/>
        <v>Pedro Dias</v>
      </c>
      <c r="X11" s="31">
        <f t="shared" si="20"/>
        <v>49</v>
      </c>
      <c r="Y11" s="33">
        <f>COUNTIF(X$5:$X11,X11)</f>
        <v>2</v>
      </c>
      <c r="Z11" s="33" t="str">
        <f t="shared" si="21"/>
        <v>492</v>
      </c>
      <c r="AA11" s="39"/>
      <c r="AB11" s="49">
        <v>7</v>
      </c>
      <c r="AC11" s="30" t="str">
        <f t="shared" si="22"/>
        <v>João Vitor Nunes</v>
      </c>
      <c r="AD11" s="31">
        <f t="shared" si="23"/>
        <v>40</v>
      </c>
      <c r="AE11" s="39">
        <f>COUNTIF(AD$5:$AD11,AD11)</f>
        <v>2</v>
      </c>
      <c r="AF11" s="39" t="str">
        <f t="shared" si="24"/>
        <v>402</v>
      </c>
      <c r="AG11" s="39"/>
      <c r="AH11" s="49">
        <v>7</v>
      </c>
      <c r="AI11" s="30" t="str">
        <f t="shared" si="0"/>
        <v>Henrique Viza</v>
      </c>
      <c r="AJ11" s="32">
        <f t="shared" si="1"/>
        <v>6.1605555555555558</v>
      </c>
      <c r="AK11" s="56"/>
      <c r="AL11" s="158">
        <v>7</v>
      </c>
      <c r="AM11" s="30" t="str">
        <f t="shared" si="2"/>
        <v>Matheus Gomes</v>
      </c>
      <c r="AN11" s="86">
        <f t="shared" si="3"/>
        <v>0.8</v>
      </c>
      <c r="AO11" s="76">
        <f>COUNTIF(AN$5:$AN11,AN11)</f>
        <v>1</v>
      </c>
      <c r="AP11" s="76" t="str">
        <f t="shared" si="25"/>
        <v>0,81</v>
      </c>
      <c r="AR11" s="54" t="str">
        <f t="shared" si="26"/>
        <v/>
      </c>
      <c r="AS11" s="55" t="str">
        <f t="shared" si="27"/>
        <v/>
      </c>
      <c r="AT11" s="54" t="str">
        <f t="shared" si="28"/>
        <v/>
      </c>
      <c r="AU11" s="54">
        <f t="shared" si="29"/>
        <v>6.6021428571428578</v>
      </c>
      <c r="AV11" s="54"/>
      <c r="AW11" s="54" t="str">
        <f t="shared" si="4"/>
        <v/>
      </c>
      <c r="AX11" s="54" t="str">
        <f t="shared" si="5"/>
        <v/>
      </c>
      <c r="AY11" s="54" t="str">
        <f t="shared" si="6"/>
        <v/>
      </c>
      <c r="AZ11" s="54">
        <f t="shared" si="7"/>
        <v>6.6021428571428578</v>
      </c>
      <c r="BC11" s="5">
        <f t="shared" si="8"/>
        <v>6.6021428571428578</v>
      </c>
      <c r="BE11" s="158">
        <v>7</v>
      </c>
      <c r="BF11" s="30" t="str">
        <f t="shared" si="9"/>
        <v>Lucas Leite - Coxinha</v>
      </c>
      <c r="BG11" s="31">
        <f t="shared" si="10"/>
        <v>90</v>
      </c>
      <c r="BH11">
        <f>COUNTIF(BG$5:$BG11,BG11)</f>
        <v>1</v>
      </c>
      <c r="BI11" t="str">
        <f t="shared" si="30"/>
        <v>901</v>
      </c>
      <c r="BK11" s="158">
        <v>7</v>
      </c>
      <c r="BL11" s="30" t="str">
        <f t="shared" si="11"/>
        <v>Reinaldo Santana</v>
      </c>
      <c r="BM11" s="31">
        <f t="shared" si="12"/>
        <v>12</v>
      </c>
      <c r="BN11">
        <f>COUNTIF(BM$5:$BM11,BM11)</f>
        <v>3</v>
      </c>
      <c r="BO11" t="str">
        <f t="shared" si="31"/>
        <v>123</v>
      </c>
    </row>
    <row r="12" spans="1:67" x14ac:dyDescent="0.25">
      <c r="B12" s="21" t="str">
        <f>JAN!B12</f>
        <v>Gabriel Andrade</v>
      </c>
      <c r="C12" s="105" t="s">
        <v>59</v>
      </c>
      <c r="D12" s="159">
        <f>SUM(JAN:DEZ!AB12)</f>
        <v>37</v>
      </c>
      <c r="E12" s="7">
        <f t="shared" si="13"/>
        <v>0.82222222222222219</v>
      </c>
      <c r="F12" s="3">
        <f>SUM(JAN:DEZ!AC12)</f>
        <v>82</v>
      </c>
      <c r="G12" s="3">
        <f>SUM(JAN:DEZ!AD12)</f>
        <v>40</v>
      </c>
      <c r="H12" s="3">
        <f>SUM(JAN:DEZ!AE12)</f>
        <v>122</v>
      </c>
      <c r="I12" s="3">
        <f>SUM(JAN:DEZ!AF12)</f>
        <v>17</v>
      </c>
      <c r="J12" s="10">
        <f>IFERROR(AVERAGE(JAN:DEZ!AG12),"-")</f>
        <v>6.4784499999999996</v>
      </c>
      <c r="K12" s="72">
        <f>COUNTIF(F$5:$F12,F12)</f>
        <v>1</v>
      </c>
      <c r="L12" s="40" t="str">
        <f t="shared" si="14"/>
        <v>821</v>
      </c>
      <c r="M12" s="40">
        <f>COUNTIF(G$5:$G12,G12)</f>
        <v>1</v>
      </c>
      <c r="N12" s="40" t="str">
        <f t="shared" si="15"/>
        <v>401</v>
      </c>
      <c r="O12" s="40">
        <f>COUNTIF(E$5:$E12,E12)</f>
        <v>1</v>
      </c>
      <c r="P12" s="130" t="str">
        <f t="shared" si="16"/>
        <v>0,8222222222222221</v>
      </c>
      <c r="Q12" s="130">
        <f>COUNTIF(H$5:$H12,H12)</f>
        <v>1</v>
      </c>
      <c r="R12" s="130" t="str">
        <f t="shared" si="17"/>
        <v>1221</v>
      </c>
      <c r="S12" s="130">
        <f>COUNTIF(I$5:$I12,I12)</f>
        <v>1</v>
      </c>
      <c r="T12" s="84" t="str">
        <f t="shared" si="18"/>
        <v>171</v>
      </c>
      <c r="V12" s="49">
        <v>8</v>
      </c>
      <c r="W12" s="30" t="str">
        <f t="shared" si="19"/>
        <v>Leo Starling</v>
      </c>
      <c r="X12" s="31">
        <f t="shared" si="20"/>
        <v>46</v>
      </c>
      <c r="Y12" s="33">
        <f>COUNTIF(X$5:$X12,X12)</f>
        <v>1</v>
      </c>
      <c r="Z12" s="33" t="str">
        <f t="shared" si="21"/>
        <v>461</v>
      </c>
      <c r="AA12" s="39"/>
      <c r="AB12" s="49">
        <v>8</v>
      </c>
      <c r="AC12" s="30" t="str">
        <f t="shared" si="22"/>
        <v>Lucas Leite - Coxinha</v>
      </c>
      <c r="AD12" s="31">
        <f t="shared" si="23"/>
        <v>39</v>
      </c>
      <c r="AE12" s="39">
        <f>COUNTIF(AD$5:$AD12,AD12)</f>
        <v>1</v>
      </c>
      <c r="AF12" s="39" t="str">
        <f t="shared" si="24"/>
        <v>391</v>
      </c>
      <c r="AG12" s="39"/>
      <c r="AH12" s="49">
        <v>8</v>
      </c>
      <c r="AI12" s="30" t="str">
        <f t="shared" si="0"/>
        <v>Breno (GK)</v>
      </c>
      <c r="AJ12" s="32">
        <f t="shared" si="1"/>
        <v>6.1183333333333332</v>
      </c>
      <c r="AK12" s="56"/>
      <c r="AL12" s="158">
        <v>8</v>
      </c>
      <c r="AM12" s="30" t="str">
        <f t="shared" si="2"/>
        <v>Leo Starling</v>
      </c>
      <c r="AN12" s="86">
        <f t="shared" si="3"/>
        <v>0.77777777777777779</v>
      </c>
      <c r="AO12" s="76">
        <f>COUNTIF(AN$5:$AN12,AN12)</f>
        <v>1</v>
      </c>
      <c r="AP12" s="76" t="str">
        <f t="shared" si="25"/>
        <v>0,7777777777777781</v>
      </c>
      <c r="AR12" s="54" t="str">
        <f t="shared" si="26"/>
        <v/>
      </c>
      <c r="AS12" s="55" t="str">
        <f t="shared" si="27"/>
        <v/>
      </c>
      <c r="AT12" s="54">
        <f t="shared" si="28"/>
        <v>6.4784499999999996</v>
      </c>
      <c r="AU12" s="54" t="str">
        <f t="shared" si="29"/>
        <v/>
      </c>
      <c r="AV12" s="54"/>
      <c r="AW12" s="54" t="str">
        <f t="shared" si="4"/>
        <v/>
      </c>
      <c r="AX12" s="54" t="str">
        <f t="shared" si="5"/>
        <v/>
      </c>
      <c r="AY12" s="54">
        <f t="shared" si="6"/>
        <v>6.4784499999999996</v>
      </c>
      <c r="AZ12" s="54" t="str">
        <f t="shared" si="7"/>
        <v/>
      </c>
      <c r="BC12" s="5">
        <f t="shared" si="8"/>
        <v>6.4784499999999996</v>
      </c>
      <c r="BE12" s="158">
        <v>8</v>
      </c>
      <c r="BF12" s="30" t="str">
        <f t="shared" si="9"/>
        <v>Leo Starling</v>
      </c>
      <c r="BG12" s="31">
        <f t="shared" si="10"/>
        <v>87</v>
      </c>
      <c r="BH12">
        <f>COUNTIF(BG$5:$BG12,BG12)</f>
        <v>1</v>
      </c>
      <c r="BI12" t="str">
        <f t="shared" si="30"/>
        <v>871</v>
      </c>
      <c r="BK12" s="158">
        <v>8</v>
      </c>
      <c r="BL12" s="30" t="str">
        <f t="shared" si="11"/>
        <v>Meurin</v>
      </c>
      <c r="BM12" s="31">
        <f t="shared" si="12"/>
        <v>11</v>
      </c>
      <c r="BN12">
        <f>COUNTIF(BM$5:$BM12,BM12)</f>
        <v>1</v>
      </c>
      <c r="BO12" t="str">
        <f t="shared" si="31"/>
        <v>111</v>
      </c>
    </row>
    <row r="13" spans="1:67" x14ac:dyDescent="0.25">
      <c r="B13" s="21" t="str">
        <f>JAN!B13</f>
        <v>Gabriel Castro</v>
      </c>
      <c r="C13" s="105" t="s">
        <v>60</v>
      </c>
      <c r="D13" s="159">
        <f>SUM(JAN:DEZ!AB13)</f>
        <v>26</v>
      </c>
      <c r="E13" s="7">
        <f t="shared" si="13"/>
        <v>0.57777777777777772</v>
      </c>
      <c r="F13" s="3">
        <f>SUM(JAN:DEZ!AC13)</f>
        <v>29</v>
      </c>
      <c r="G13" s="3">
        <f>SUM(JAN:DEZ!AD13)</f>
        <v>25</v>
      </c>
      <c r="H13" s="3">
        <f>SUM(JAN:DEZ!AE13)</f>
        <v>54</v>
      </c>
      <c r="I13" s="3">
        <f>SUM(JAN:DEZ!AF13)</f>
        <v>8</v>
      </c>
      <c r="J13" s="10">
        <f>IFERROR(AVERAGE(JAN:DEZ!AG13),"-")</f>
        <v>5.1820476190476201</v>
      </c>
      <c r="K13" s="72">
        <f>COUNTIF(F$5:$F13,F13)</f>
        <v>1</v>
      </c>
      <c r="L13" s="40" t="str">
        <f t="shared" si="14"/>
        <v>291</v>
      </c>
      <c r="M13" s="40">
        <f>COUNTIF(G$5:$G13,G13)</f>
        <v>1</v>
      </c>
      <c r="N13" s="40" t="str">
        <f t="shared" si="15"/>
        <v>251</v>
      </c>
      <c r="O13" s="40">
        <f>COUNTIF(E$5:$E13,E13)</f>
        <v>2</v>
      </c>
      <c r="P13" s="130" t="str">
        <f t="shared" si="16"/>
        <v>0,5777777777777782</v>
      </c>
      <c r="Q13" s="130">
        <f>COUNTIF(H$5:$H13,H13)</f>
        <v>1</v>
      </c>
      <c r="R13" s="130" t="str">
        <f t="shared" si="17"/>
        <v>541</v>
      </c>
      <c r="S13" s="130">
        <f>COUNTIF(I$5:$I13,I13)</f>
        <v>1</v>
      </c>
      <c r="T13" s="84" t="str">
        <f t="shared" si="18"/>
        <v>81</v>
      </c>
      <c r="V13" s="49">
        <v>9</v>
      </c>
      <c r="W13" s="30" t="str">
        <f t="shared" si="19"/>
        <v>Felipe Horsts</v>
      </c>
      <c r="X13" s="31">
        <f t="shared" si="20"/>
        <v>41</v>
      </c>
      <c r="Y13" s="33">
        <f>COUNTIF(X$5:$X13,X13)</f>
        <v>1</v>
      </c>
      <c r="Z13" s="33" t="str">
        <f t="shared" si="21"/>
        <v>411</v>
      </c>
      <c r="AA13" s="39"/>
      <c r="AB13" s="49">
        <v>9</v>
      </c>
      <c r="AC13" s="30" t="str">
        <f t="shared" si="22"/>
        <v>Alberto Henrique</v>
      </c>
      <c r="AD13" s="31">
        <f t="shared" si="23"/>
        <v>33</v>
      </c>
      <c r="AE13" s="39">
        <f>COUNTIF(AD$5:$AD13,AD13)</f>
        <v>1</v>
      </c>
      <c r="AF13" s="39" t="str">
        <f t="shared" si="24"/>
        <v>331</v>
      </c>
      <c r="AG13" s="39"/>
      <c r="AH13" s="49">
        <v>9</v>
      </c>
      <c r="AI13" s="30" t="str">
        <f t="shared" si="0"/>
        <v>Alberto Henrique</v>
      </c>
      <c r="AJ13" s="32">
        <f t="shared" si="1"/>
        <v>6.0820999999999996</v>
      </c>
      <c r="AK13" s="56"/>
      <c r="AL13" s="158">
        <v>9</v>
      </c>
      <c r="AM13" s="30" t="str">
        <f t="shared" si="2"/>
        <v>Reinaldo Santana</v>
      </c>
      <c r="AN13" s="86">
        <f t="shared" si="3"/>
        <v>0.77777777777777779</v>
      </c>
      <c r="AO13" s="76">
        <f>COUNTIF(AN$5:$AN13,AN13)</f>
        <v>2</v>
      </c>
      <c r="AP13" s="76" t="str">
        <f t="shared" si="25"/>
        <v>0,7777777777777782</v>
      </c>
      <c r="AR13" s="54" t="str">
        <f t="shared" si="26"/>
        <v/>
      </c>
      <c r="AS13" s="55" t="str">
        <f t="shared" si="27"/>
        <v/>
      </c>
      <c r="AT13" s="54" t="str">
        <f t="shared" si="28"/>
        <v/>
      </c>
      <c r="AU13" s="54">
        <f t="shared" si="29"/>
        <v>5.1820476190476201</v>
      </c>
      <c r="AV13" s="54"/>
      <c r="AW13" s="54" t="str">
        <f t="shared" si="4"/>
        <v/>
      </c>
      <c r="AX13" s="54" t="str">
        <f t="shared" si="5"/>
        <v/>
      </c>
      <c r="AY13" s="54" t="str">
        <f t="shared" si="6"/>
        <v/>
      </c>
      <c r="AZ13" s="54">
        <f t="shared" si="7"/>
        <v>5.1820476190476201</v>
      </c>
      <c r="BC13" s="5">
        <f t="shared" si="8"/>
        <v>5.1820476190476201</v>
      </c>
      <c r="BE13" s="158">
        <v>9</v>
      </c>
      <c r="BF13" s="30" t="str">
        <f t="shared" si="9"/>
        <v>Alberto Henrique</v>
      </c>
      <c r="BG13" s="31">
        <f t="shared" si="10"/>
        <v>82</v>
      </c>
      <c r="BH13">
        <f>COUNTIF(BG$5:$BG13,BG13)</f>
        <v>1</v>
      </c>
      <c r="BI13" t="str">
        <f t="shared" si="30"/>
        <v>821</v>
      </c>
      <c r="BK13" s="158">
        <v>9</v>
      </c>
      <c r="BL13" s="30" t="str">
        <f t="shared" si="11"/>
        <v>Ruan Amorim</v>
      </c>
      <c r="BM13" s="31">
        <f t="shared" si="12"/>
        <v>11</v>
      </c>
      <c r="BN13">
        <f>COUNTIF(BM$5:$BM13,BM13)</f>
        <v>2</v>
      </c>
      <c r="BO13" t="str">
        <f t="shared" si="31"/>
        <v>112</v>
      </c>
    </row>
    <row r="14" spans="1:67" x14ac:dyDescent="0.25">
      <c r="B14" s="21" t="str">
        <f>JAN!B14</f>
        <v>Gabriel Cosendey</v>
      </c>
      <c r="C14" s="105" t="s">
        <v>61</v>
      </c>
      <c r="D14" s="159">
        <f>SUM(JAN:DEZ!AB14)</f>
        <v>12</v>
      </c>
      <c r="E14" s="7">
        <f t="shared" si="13"/>
        <v>0.26666666666666666</v>
      </c>
      <c r="F14" s="3">
        <f>SUM(JAN:DEZ!AC14)</f>
        <v>5</v>
      </c>
      <c r="G14" s="3">
        <f>SUM(JAN:DEZ!AD14)</f>
        <v>4</v>
      </c>
      <c r="H14" s="3">
        <f>SUM(JAN:DEZ!AE14)</f>
        <v>9</v>
      </c>
      <c r="I14" s="3">
        <f>SUM(JAN:DEZ!AF14)</f>
        <v>2</v>
      </c>
      <c r="J14" s="10">
        <f>IFERROR(AVERAGE(JAN:DEZ!AG14),"-")</f>
        <v>6.2420833333333334</v>
      </c>
      <c r="K14" s="72">
        <f>COUNTIF(F$5:$F14,F14)</f>
        <v>1</v>
      </c>
      <c r="L14" s="40" t="str">
        <f t="shared" si="14"/>
        <v>51</v>
      </c>
      <c r="M14" s="40">
        <f>COUNTIF(G$5:$G14,G14)</f>
        <v>1</v>
      </c>
      <c r="N14" s="40" t="str">
        <f t="shared" si="15"/>
        <v>41</v>
      </c>
      <c r="O14" s="40">
        <f>COUNTIF(E$5:$E14,E14)</f>
        <v>1</v>
      </c>
      <c r="P14" s="130" t="str">
        <f t="shared" si="16"/>
        <v>0,2666666666666671</v>
      </c>
      <c r="Q14" s="130">
        <f>COUNTIF(H$5:$H14,H14)</f>
        <v>1</v>
      </c>
      <c r="R14" s="130" t="str">
        <f t="shared" si="17"/>
        <v>91</v>
      </c>
      <c r="S14" s="130">
        <f>COUNTIF(I$5:$I14,I14)</f>
        <v>1</v>
      </c>
      <c r="T14" s="84" t="str">
        <f t="shared" si="18"/>
        <v>21</v>
      </c>
      <c r="V14" s="49">
        <v>10</v>
      </c>
      <c r="W14" s="30" t="str">
        <f t="shared" si="19"/>
        <v>Henrique Viza</v>
      </c>
      <c r="X14" s="31">
        <f t="shared" si="20"/>
        <v>38</v>
      </c>
      <c r="Y14" s="33">
        <f>COUNTIF(X$5:$X14,X14)</f>
        <v>1</v>
      </c>
      <c r="Z14" s="33" t="str">
        <f t="shared" si="21"/>
        <v>381</v>
      </c>
      <c r="AA14" s="39"/>
      <c r="AB14" s="49">
        <v>10</v>
      </c>
      <c r="AC14" s="30" t="str">
        <f t="shared" si="22"/>
        <v>Felipe Horsts</v>
      </c>
      <c r="AD14" s="31">
        <f t="shared" si="23"/>
        <v>33</v>
      </c>
      <c r="AE14" s="39">
        <f>COUNTIF(AD$5:$AD14,AD14)</f>
        <v>2</v>
      </c>
      <c r="AF14" s="39" t="str">
        <f t="shared" si="24"/>
        <v>332</v>
      </c>
      <c r="AG14" s="39"/>
      <c r="AH14" s="49">
        <v>10</v>
      </c>
      <c r="AI14" s="30" t="str">
        <f t="shared" si="0"/>
        <v>José Guilherme</v>
      </c>
      <c r="AJ14" s="32">
        <f t="shared" si="1"/>
        <v>6.0566666666666675</v>
      </c>
      <c r="AK14" s="56"/>
      <c r="AL14" s="158">
        <v>10</v>
      </c>
      <c r="AM14" s="30" t="str">
        <f t="shared" si="2"/>
        <v>Pedro Dias</v>
      </c>
      <c r="AN14" s="86">
        <f t="shared" si="3"/>
        <v>0.75555555555555554</v>
      </c>
      <c r="AO14" s="76">
        <f>COUNTIF(AN$5:$AN14,AN14)</f>
        <v>1</v>
      </c>
      <c r="AP14" s="76" t="str">
        <f t="shared" si="25"/>
        <v>0,7555555555555561</v>
      </c>
      <c r="AR14" s="54" t="str">
        <f t="shared" si="26"/>
        <v/>
      </c>
      <c r="AS14" s="55">
        <f t="shared" si="27"/>
        <v>6.2420833333333334</v>
      </c>
      <c r="AT14" s="54" t="str">
        <f t="shared" si="28"/>
        <v/>
      </c>
      <c r="AU14" s="54" t="str">
        <f t="shared" si="29"/>
        <v/>
      </c>
      <c r="AV14" s="54"/>
      <c r="AW14" s="54" t="str">
        <f t="shared" si="4"/>
        <v/>
      </c>
      <c r="AX14" s="54" t="str">
        <f t="shared" si="5"/>
        <v/>
      </c>
      <c r="AY14" s="54" t="str">
        <f t="shared" si="6"/>
        <v/>
      </c>
      <c r="AZ14" s="54" t="str">
        <f t="shared" si="7"/>
        <v/>
      </c>
      <c r="BC14" s="5" t="str">
        <f t="shared" si="8"/>
        <v/>
      </c>
      <c r="BE14" s="158">
        <v>10</v>
      </c>
      <c r="BF14" s="30" t="str">
        <f t="shared" si="9"/>
        <v>Felipe Horsts</v>
      </c>
      <c r="BG14" s="31">
        <f t="shared" si="10"/>
        <v>74</v>
      </c>
      <c r="BH14">
        <f>COUNTIF(BG$5:$BG14,BG14)</f>
        <v>1</v>
      </c>
      <c r="BI14" t="str">
        <f t="shared" si="30"/>
        <v>741</v>
      </c>
      <c r="BK14" s="158">
        <v>10</v>
      </c>
      <c r="BL14" s="30" t="str">
        <f t="shared" si="11"/>
        <v>Alberto Henrique</v>
      </c>
      <c r="BM14" s="31">
        <f t="shared" si="12"/>
        <v>10</v>
      </c>
      <c r="BN14">
        <f>COUNTIF(BM$5:$BM14,BM14)</f>
        <v>1</v>
      </c>
      <c r="BO14" t="str">
        <f t="shared" si="31"/>
        <v>101</v>
      </c>
    </row>
    <row r="15" spans="1:67" x14ac:dyDescent="0.25">
      <c r="B15" s="21" t="str">
        <f>JAN!B15</f>
        <v>Gabriel Teixeira</v>
      </c>
      <c r="C15" s="105" t="s">
        <v>59</v>
      </c>
      <c r="D15" s="159">
        <f>SUM(JAN:DEZ!AB15)</f>
        <v>1</v>
      </c>
      <c r="E15" s="7">
        <f t="shared" si="13"/>
        <v>2.2222222222222223E-2</v>
      </c>
      <c r="F15" s="3">
        <f>SUM(JAN:DEZ!AC15)</f>
        <v>0</v>
      </c>
      <c r="G15" s="3">
        <f>SUM(JAN:DEZ!AD15)</f>
        <v>0</v>
      </c>
      <c r="H15" s="3">
        <f>SUM(JAN:DEZ!AE15)</f>
        <v>0</v>
      </c>
      <c r="I15" s="3">
        <f>SUM(JAN:DEZ!AF15)</f>
        <v>0</v>
      </c>
      <c r="J15" s="10">
        <f>IFERROR(AVERAGE(JAN:DEZ!AG15),"-")</f>
        <v>4.66</v>
      </c>
      <c r="K15" s="72">
        <f>COUNTIF(F$5:$F15,F15)</f>
        <v>4</v>
      </c>
      <c r="L15" s="40" t="str">
        <f t="shared" si="14"/>
        <v>04</v>
      </c>
      <c r="M15" s="40">
        <f>COUNTIF(G$5:$G15,G15)</f>
        <v>2</v>
      </c>
      <c r="N15" s="40" t="str">
        <f t="shared" si="15"/>
        <v>02</v>
      </c>
      <c r="O15" s="40">
        <f>COUNTIF(E$5:$E15,E15)</f>
        <v>1</v>
      </c>
      <c r="P15" s="130" t="str">
        <f t="shared" si="16"/>
        <v>0,02222222222222221</v>
      </c>
      <c r="Q15" s="130">
        <f>COUNTIF(H$5:$H15,H15)</f>
        <v>2</v>
      </c>
      <c r="R15" s="130" t="str">
        <f t="shared" si="17"/>
        <v>02</v>
      </c>
      <c r="S15" s="130">
        <f>COUNTIF(I$5:$I15,I15)</f>
        <v>1</v>
      </c>
      <c r="T15" s="84" t="str">
        <f t="shared" si="18"/>
        <v>01</v>
      </c>
      <c r="V15" s="49">
        <v>11</v>
      </c>
      <c r="W15" s="30" t="str">
        <f t="shared" si="19"/>
        <v>Lucas Gama - Passarim</v>
      </c>
      <c r="X15" s="31">
        <f t="shared" si="20"/>
        <v>35</v>
      </c>
      <c r="Y15" s="33">
        <f>COUNTIF(X$5:$X15,X15)</f>
        <v>1</v>
      </c>
      <c r="Z15" s="33" t="str">
        <f t="shared" si="21"/>
        <v>351</v>
      </c>
      <c r="AA15" s="39"/>
      <c r="AB15" s="49">
        <v>11</v>
      </c>
      <c r="AC15" s="30" t="str">
        <f t="shared" si="22"/>
        <v>Gabriel Castro</v>
      </c>
      <c r="AD15" s="31">
        <f t="shared" si="23"/>
        <v>25</v>
      </c>
      <c r="AE15" s="39">
        <f>COUNTIF(AD$5:$AD15,AD15)</f>
        <v>1</v>
      </c>
      <c r="AF15" s="39" t="str">
        <f t="shared" si="24"/>
        <v>251</v>
      </c>
      <c r="AG15" s="39"/>
      <c r="AH15" s="49">
        <v>11</v>
      </c>
      <c r="AI15" s="30" t="str">
        <f t="shared" si="0"/>
        <v>Thiago Amorim - Caputira</v>
      </c>
      <c r="AJ15" s="32">
        <f t="shared" si="1"/>
        <v>6.0266666666666664</v>
      </c>
      <c r="AK15" s="56"/>
      <c r="AL15" s="158">
        <v>11</v>
      </c>
      <c r="AM15" s="30" t="str">
        <f t="shared" si="2"/>
        <v>Alberto Henrique</v>
      </c>
      <c r="AN15" s="86">
        <f t="shared" si="3"/>
        <v>0.71111111111111114</v>
      </c>
      <c r="AO15" s="76">
        <f>COUNTIF(AN$5:$AN15,AN15)</f>
        <v>1</v>
      </c>
      <c r="AP15" s="76" t="str">
        <f t="shared" si="25"/>
        <v>0,7111111111111111</v>
      </c>
      <c r="AR15" s="54" t="str">
        <f t="shared" si="26"/>
        <v/>
      </c>
      <c r="AS15" s="55" t="str">
        <f t="shared" si="27"/>
        <v/>
      </c>
      <c r="AT15" s="54">
        <f t="shared" si="28"/>
        <v>4.66</v>
      </c>
      <c r="AU15" s="54" t="str">
        <f t="shared" si="29"/>
        <v/>
      </c>
      <c r="AV15" s="54"/>
      <c r="AW15" s="54" t="str">
        <f t="shared" si="4"/>
        <v/>
      </c>
      <c r="AX15" s="54" t="str">
        <f t="shared" si="5"/>
        <v/>
      </c>
      <c r="AY15" s="54" t="str">
        <f t="shared" si="6"/>
        <v/>
      </c>
      <c r="AZ15" s="54" t="str">
        <f t="shared" si="7"/>
        <v/>
      </c>
      <c r="BC15" s="5" t="str">
        <f t="shared" si="8"/>
        <v/>
      </c>
      <c r="BE15" s="158">
        <v>11</v>
      </c>
      <c r="BF15" s="30" t="str">
        <f t="shared" si="9"/>
        <v>Henrique Viza</v>
      </c>
      <c r="BG15" s="31">
        <f t="shared" si="10"/>
        <v>60</v>
      </c>
      <c r="BH15">
        <f>COUNTIF(BG$5:$BG15,BG15)</f>
        <v>1</v>
      </c>
      <c r="BI15" t="str">
        <f t="shared" si="30"/>
        <v>601</v>
      </c>
      <c r="BK15" s="158">
        <v>11</v>
      </c>
      <c r="BL15" s="30" t="str">
        <f t="shared" si="11"/>
        <v>Lucas Leite - Coxinha</v>
      </c>
      <c r="BM15" s="31">
        <f t="shared" si="12"/>
        <v>10</v>
      </c>
      <c r="BN15">
        <f>COUNTIF(BM$5:$BM15,BM15)</f>
        <v>2</v>
      </c>
      <c r="BO15" t="str">
        <f t="shared" si="31"/>
        <v>102</v>
      </c>
    </row>
    <row r="16" spans="1:67" x14ac:dyDescent="0.25">
      <c r="B16" s="21" t="str">
        <f>JAN!B16</f>
        <v>Guilherme Santos (GK)</v>
      </c>
      <c r="C16" s="105" t="s">
        <v>43</v>
      </c>
      <c r="D16" s="159">
        <f>SUM(JAN:DEZ!AB16)</f>
        <v>40</v>
      </c>
      <c r="E16" s="7">
        <f t="shared" si="13"/>
        <v>0.88888888888888884</v>
      </c>
      <c r="F16" s="3">
        <f>SUM(JAN:DEZ!AC16)</f>
        <v>0</v>
      </c>
      <c r="G16" s="3">
        <f>SUM(JAN:DEZ!AD16)</f>
        <v>2</v>
      </c>
      <c r="H16" s="3">
        <f>SUM(JAN:DEZ!AE16)</f>
        <v>2</v>
      </c>
      <c r="I16" s="3">
        <f>SUM(JAN:DEZ!AF16)</f>
        <v>13</v>
      </c>
      <c r="J16" s="10">
        <f>IFERROR(AVERAGE(JAN:DEZ!AG16),"-")</f>
        <v>6.3762121212121201</v>
      </c>
      <c r="K16" s="72">
        <f>COUNTIF(F$5:$F16,F16)</f>
        <v>5</v>
      </c>
      <c r="L16" s="40" t="str">
        <f t="shared" si="14"/>
        <v>05</v>
      </c>
      <c r="M16" s="40">
        <f>COUNTIF(G$5:$G16,G16)</f>
        <v>1</v>
      </c>
      <c r="N16" s="40" t="str">
        <f t="shared" si="15"/>
        <v>21</v>
      </c>
      <c r="O16" s="40">
        <f>COUNTIF(E$5:$E16,E16)</f>
        <v>1</v>
      </c>
      <c r="P16" s="130" t="str">
        <f t="shared" si="16"/>
        <v>0,8888888888888891</v>
      </c>
      <c r="Q16" s="130">
        <f>COUNTIF(H$5:$H16,H16)</f>
        <v>1</v>
      </c>
      <c r="R16" s="130" t="str">
        <f t="shared" si="17"/>
        <v>21</v>
      </c>
      <c r="S16" s="130">
        <f>COUNTIF(I$5:$I16,I16)</f>
        <v>2</v>
      </c>
      <c r="T16" s="84" t="str">
        <f t="shared" si="18"/>
        <v>132</v>
      </c>
      <c r="V16" s="49">
        <v>12</v>
      </c>
      <c r="W16" s="30" t="str">
        <f t="shared" si="19"/>
        <v>Gabriel Castro</v>
      </c>
      <c r="X16" s="31">
        <f t="shared" si="20"/>
        <v>29</v>
      </c>
      <c r="Y16" s="33">
        <f>COUNTIF(X$5:$X16,X16)</f>
        <v>1</v>
      </c>
      <c r="Z16" s="33" t="str">
        <f t="shared" si="21"/>
        <v>291</v>
      </c>
      <c r="AA16" s="39"/>
      <c r="AB16" s="49">
        <v>12</v>
      </c>
      <c r="AC16" s="30" t="str">
        <f t="shared" si="22"/>
        <v>Rafael Mendes</v>
      </c>
      <c r="AD16" s="31">
        <f t="shared" si="23"/>
        <v>24</v>
      </c>
      <c r="AE16" s="39">
        <f>COUNTIF(AD$5:$AD16,AD16)</f>
        <v>1</v>
      </c>
      <c r="AF16" s="39" t="str">
        <f t="shared" si="24"/>
        <v>241</v>
      </c>
      <c r="AG16" s="39"/>
      <c r="AH16" s="49">
        <v>12</v>
      </c>
      <c r="AI16" s="30" t="str">
        <f t="shared" si="0"/>
        <v>Douglas DG (GK)</v>
      </c>
      <c r="AJ16" s="32">
        <f t="shared" si="1"/>
        <v>6.0192592592592611</v>
      </c>
      <c r="AK16" s="56"/>
      <c r="AL16" s="158">
        <v>12</v>
      </c>
      <c r="AM16" s="30" t="str">
        <f t="shared" si="2"/>
        <v>Lucas Leite - Coxinha</v>
      </c>
      <c r="AN16" s="86">
        <f t="shared" si="3"/>
        <v>0.66666666666666663</v>
      </c>
      <c r="AO16" s="76">
        <f>COUNTIF(AN$5:$AN16,AN16)</f>
        <v>1</v>
      </c>
      <c r="AP16" s="76" t="str">
        <f t="shared" si="25"/>
        <v>0,6666666666666671</v>
      </c>
      <c r="AR16" s="54">
        <f t="shared" si="26"/>
        <v>6.3762121212121201</v>
      </c>
      <c r="AS16" s="55" t="str">
        <f t="shared" si="27"/>
        <v/>
      </c>
      <c r="AT16" s="54" t="str">
        <f t="shared" si="28"/>
        <v/>
      </c>
      <c r="AU16" s="54" t="str">
        <f t="shared" si="29"/>
        <v/>
      </c>
      <c r="AV16" s="54"/>
      <c r="AW16" s="54">
        <f t="shared" si="4"/>
        <v>6.3762121212121201</v>
      </c>
      <c r="AX16" s="54" t="str">
        <f t="shared" si="5"/>
        <v/>
      </c>
      <c r="AY16" s="54" t="str">
        <f t="shared" si="6"/>
        <v/>
      </c>
      <c r="AZ16" s="54" t="str">
        <f t="shared" si="7"/>
        <v/>
      </c>
      <c r="BC16" s="5">
        <f t="shared" si="8"/>
        <v>6.3762121212121201</v>
      </c>
      <c r="BE16" s="158">
        <v>12</v>
      </c>
      <c r="BF16" s="30" t="str">
        <f t="shared" si="9"/>
        <v>Gabriel Castro</v>
      </c>
      <c r="BG16" s="31">
        <f t="shared" si="10"/>
        <v>54</v>
      </c>
      <c r="BH16">
        <f>COUNTIF(BG$5:$BG16,BG16)</f>
        <v>1</v>
      </c>
      <c r="BI16" t="str">
        <f t="shared" si="30"/>
        <v>541</v>
      </c>
      <c r="BK16" s="158">
        <v>12</v>
      </c>
      <c r="BL16" s="30" t="str">
        <f t="shared" si="11"/>
        <v>Pierre Paulo</v>
      </c>
      <c r="BM16" s="31">
        <f t="shared" si="12"/>
        <v>10</v>
      </c>
      <c r="BN16">
        <f>COUNTIF(BM$5:$BM16,BM16)</f>
        <v>3</v>
      </c>
      <c r="BO16" t="str">
        <f t="shared" si="31"/>
        <v>103</v>
      </c>
    </row>
    <row r="17" spans="2:67" x14ac:dyDescent="0.25">
      <c r="B17" s="21" t="str">
        <f>JAN!B17</f>
        <v>Gustavo Bumbum (GK)</v>
      </c>
      <c r="C17" s="105" t="s">
        <v>43</v>
      </c>
      <c r="D17" s="159">
        <f>SUM(JAN:DEZ!AB17)</f>
        <v>12</v>
      </c>
      <c r="E17" s="7">
        <f t="shared" si="13"/>
        <v>0.26666666666666666</v>
      </c>
      <c r="F17" s="3">
        <f>SUM(JAN:DEZ!AC17)</f>
        <v>0</v>
      </c>
      <c r="G17" s="3">
        <f>SUM(JAN:DEZ!AD17)</f>
        <v>0</v>
      </c>
      <c r="H17" s="3">
        <f>SUM(JAN:DEZ!AE17)</f>
        <v>0</v>
      </c>
      <c r="I17" s="3">
        <f>SUM(JAN:DEZ!AF17)</f>
        <v>2</v>
      </c>
      <c r="J17" s="10">
        <f>IFERROR(AVERAGE(JAN:DEZ!AG17),"-")</f>
        <v>5.3735999999999997</v>
      </c>
      <c r="K17" s="72">
        <f>COUNTIF(F$5:$F17,F17)</f>
        <v>6</v>
      </c>
      <c r="L17" s="40" t="str">
        <f t="shared" si="14"/>
        <v>06</v>
      </c>
      <c r="M17" s="40">
        <f>COUNTIF(G$5:$G17,G17)</f>
        <v>3</v>
      </c>
      <c r="N17" s="40" t="str">
        <f t="shared" si="15"/>
        <v>03</v>
      </c>
      <c r="O17" s="40">
        <f>COUNTIF(E$5:$E17,E17)</f>
        <v>2</v>
      </c>
      <c r="P17" s="130" t="str">
        <f t="shared" si="16"/>
        <v>0,2666666666666672</v>
      </c>
      <c r="Q17" s="130">
        <f>COUNTIF(H$5:$H17,H17)</f>
        <v>3</v>
      </c>
      <c r="R17" s="130" t="str">
        <f t="shared" si="17"/>
        <v>03</v>
      </c>
      <c r="S17" s="130">
        <f>COUNTIF(I$5:$I17,I17)</f>
        <v>2</v>
      </c>
      <c r="T17" s="84" t="str">
        <f t="shared" si="18"/>
        <v>22</v>
      </c>
      <c r="V17" s="49">
        <v>13</v>
      </c>
      <c r="W17" s="30" t="str">
        <f t="shared" si="19"/>
        <v>Rafael Mendes</v>
      </c>
      <c r="X17" s="31">
        <f t="shared" si="20"/>
        <v>29</v>
      </c>
      <c r="Y17" s="33">
        <f>COUNTIF(X$5:$X17,X17)</f>
        <v>2</v>
      </c>
      <c r="Z17" s="33" t="str">
        <f t="shared" si="21"/>
        <v>292</v>
      </c>
      <c r="AA17" s="39"/>
      <c r="AB17" s="49">
        <v>13</v>
      </c>
      <c r="AC17" s="30" t="str">
        <f t="shared" si="22"/>
        <v>Henrique Viza</v>
      </c>
      <c r="AD17" s="31">
        <f t="shared" si="23"/>
        <v>22</v>
      </c>
      <c r="AE17" s="39">
        <f>COUNTIF(AD$5:$AD17,AD17)</f>
        <v>1</v>
      </c>
      <c r="AF17" s="39" t="str">
        <f t="shared" si="24"/>
        <v>221</v>
      </c>
      <c r="AG17" s="39"/>
      <c r="AH17" s="49">
        <v>13</v>
      </c>
      <c r="AI17" s="30" t="str">
        <f t="shared" si="0"/>
        <v>Wanderson Santiago</v>
      </c>
      <c r="AJ17" s="32">
        <f t="shared" si="1"/>
        <v>5.9611111111111112</v>
      </c>
      <c r="AK17" s="56"/>
      <c r="AL17" s="158">
        <v>13</v>
      </c>
      <c r="AM17" s="30" t="str">
        <f t="shared" si="2"/>
        <v>José Guilherme</v>
      </c>
      <c r="AN17" s="86">
        <f t="shared" si="3"/>
        <v>0.64444444444444449</v>
      </c>
      <c r="AO17" s="76">
        <f>COUNTIF(AN$5:$AN17,AN17)</f>
        <v>1</v>
      </c>
      <c r="AP17" s="76" t="str">
        <f t="shared" si="25"/>
        <v>0,6444444444444441</v>
      </c>
      <c r="AR17" s="54">
        <f t="shared" si="26"/>
        <v>5.3735999999999997</v>
      </c>
      <c r="AS17" s="55" t="str">
        <f t="shared" si="27"/>
        <v/>
      </c>
      <c r="AT17" s="54" t="str">
        <f t="shared" si="28"/>
        <v/>
      </c>
      <c r="AU17" s="54" t="str">
        <f t="shared" si="29"/>
        <v/>
      </c>
      <c r="AV17" s="54"/>
      <c r="AW17" s="54" t="str">
        <f t="shared" si="4"/>
        <v/>
      </c>
      <c r="AX17" s="54" t="str">
        <f t="shared" si="5"/>
        <v/>
      </c>
      <c r="AY17" s="54" t="str">
        <f t="shared" si="6"/>
        <v/>
      </c>
      <c r="AZ17" s="54" t="str">
        <f t="shared" si="7"/>
        <v/>
      </c>
      <c r="BC17" s="5" t="str">
        <f t="shared" si="8"/>
        <v/>
      </c>
      <c r="BE17" s="158">
        <v>13</v>
      </c>
      <c r="BF17" s="30" t="str">
        <f t="shared" si="9"/>
        <v>Rafael Mendes</v>
      </c>
      <c r="BG17" s="31">
        <f t="shared" si="10"/>
        <v>53</v>
      </c>
      <c r="BH17">
        <f>COUNTIF(BG$5:$BG17,BG17)</f>
        <v>1</v>
      </c>
      <c r="BI17" t="str">
        <f t="shared" si="30"/>
        <v>531</v>
      </c>
      <c r="BK17" s="158">
        <v>13</v>
      </c>
      <c r="BL17" s="30" t="str">
        <f t="shared" si="11"/>
        <v>Allan Borela</v>
      </c>
      <c r="BM17" s="31">
        <f t="shared" si="12"/>
        <v>9</v>
      </c>
      <c r="BN17">
        <f>COUNTIF(BM$5:$BM17,BM17)</f>
        <v>1</v>
      </c>
      <c r="BO17" t="str">
        <f t="shared" si="31"/>
        <v>91</v>
      </c>
    </row>
    <row r="18" spans="2:67" x14ac:dyDescent="0.25">
      <c r="B18" s="21" t="str">
        <f>JAN!B18</f>
        <v>Gustavo Gomes</v>
      </c>
      <c r="C18" s="105" t="s">
        <v>60</v>
      </c>
      <c r="D18" s="159">
        <f>SUM(JAN:DEZ!AB18)</f>
        <v>6</v>
      </c>
      <c r="E18" s="7">
        <f t="shared" si="13"/>
        <v>0.13333333333333333</v>
      </c>
      <c r="F18" s="3">
        <f>SUM(JAN:DEZ!AC18)</f>
        <v>3</v>
      </c>
      <c r="G18" s="3">
        <f>SUM(JAN:DEZ!AD18)</f>
        <v>2</v>
      </c>
      <c r="H18" s="3">
        <f>SUM(JAN:DEZ!AE18)</f>
        <v>5</v>
      </c>
      <c r="I18" s="3">
        <f>SUM(JAN:DEZ!AF18)</f>
        <v>0</v>
      </c>
      <c r="J18" s="10">
        <f>IFERROR(AVERAGE(JAN:DEZ!AG18),"-")</f>
        <v>3.78</v>
      </c>
      <c r="K18" s="72">
        <f>COUNTIF(F$5:$F18,F18)</f>
        <v>1</v>
      </c>
      <c r="L18" s="40" t="str">
        <f t="shared" si="14"/>
        <v>31</v>
      </c>
      <c r="M18" s="40">
        <f>COUNTIF(G$5:$G18,G18)</f>
        <v>2</v>
      </c>
      <c r="N18" s="40" t="str">
        <f t="shared" si="15"/>
        <v>22</v>
      </c>
      <c r="O18" s="40">
        <f>COUNTIF(E$5:$E18,E18)</f>
        <v>1</v>
      </c>
      <c r="P18" s="130" t="str">
        <f t="shared" si="16"/>
        <v>0,1333333333333331</v>
      </c>
      <c r="Q18" s="130">
        <f>COUNTIF(H$5:$H18,H18)</f>
        <v>1</v>
      </c>
      <c r="R18" s="130" t="str">
        <f t="shared" si="17"/>
        <v>51</v>
      </c>
      <c r="S18" s="130">
        <f>COUNTIF(I$5:$I18,I18)</f>
        <v>2</v>
      </c>
      <c r="T18" s="84" t="str">
        <f t="shared" si="18"/>
        <v>02</v>
      </c>
      <c r="V18" s="49">
        <v>14</v>
      </c>
      <c r="W18" s="30" t="str">
        <f t="shared" si="19"/>
        <v>Meurin</v>
      </c>
      <c r="X18" s="31">
        <f t="shared" si="20"/>
        <v>26</v>
      </c>
      <c r="Y18" s="33">
        <f>COUNTIF(X$5:$X18,X18)</f>
        <v>1</v>
      </c>
      <c r="Z18" s="33" t="str">
        <f t="shared" si="21"/>
        <v>261</v>
      </c>
      <c r="AA18" s="39"/>
      <c r="AB18" s="49">
        <v>14</v>
      </c>
      <c r="AC18" s="30" t="str">
        <f t="shared" si="22"/>
        <v>Pierre Paulo</v>
      </c>
      <c r="AD18" s="31">
        <f t="shared" si="23"/>
        <v>22</v>
      </c>
      <c r="AE18" s="39">
        <f>COUNTIF(AD$5:$AD18,AD18)</f>
        <v>2</v>
      </c>
      <c r="AF18" s="39" t="str">
        <f t="shared" si="24"/>
        <v>222</v>
      </c>
      <c r="AG18" s="39"/>
      <c r="AH18" s="49">
        <v>14</v>
      </c>
      <c r="AI18" s="30" t="str">
        <f t="shared" si="0"/>
        <v>Pedro Dias</v>
      </c>
      <c r="AJ18" s="32">
        <f t="shared" si="1"/>
        <v>5.9174074074074072</v>
      </c>
      <c r="AK18" s="56"/>
      <c r="AL18" s="158">
        <v>14</v>
      </c>
      <c r="AM18" s="30" t="str">
        <f t="shared" si="2"/>
        <v>João Victor - Bazim</v>
      </c>
      <c r="AN18" s="86">
        <f t="shared" si="3"/>
        <v>0.6</v>
      </c>
      <c r="AO18" s="76">
        <f>COUNTIF(AN$5:$AN18,AN18)</f>
        <v>1</v>
      </c>
      <c r="AP18" s="76" t="str">
        <f t="shared" si="25"/>
        <v>0,61</v>
      </c>
      <c r="AR18" s="54" t="str">
        <f t="shared" si="26"/>
        <v/>
      </c>
      <c r="AS18" s="55" t="str">
        <f t="shared" si="27"/>
        <v/>
      </c>
      <c r="AT18" s="54" t="str">
        <f t="shared" si="28"/>
        <v/>
      </c>
      <c r="AU18" s="54">
        <f t="shared" si="29"/>
        <v>3.78</v>
      </c>
      <c r="AV18" s="54"/>
      <c r="AW18" s="54" t="str">
        <f t="shared" si="4"/>
        <v/>
      </c>
      <c r="AX18" s="54" t="str">
        <f t="shared" si="5"/>
        <v/>
      </c>
      <c r="AY18" s="54" t="str">
        <f t="shared" si="6"/>
        <v/>
      </c>
      <c r="AZ18" s="54" t="str">
        <f t="shared" si="7"/>
        <v/>
      </c>
      <c r="BC18" s="5" t="str">
        <f t="shared" si="8"/>
        <v/>
      </c>
      <c r="BE18" s="158">
        <v>14</v>
      </c>
      <c r="BF18" s="30" t="str">
        <f t="shared" si="9"/>
        <v>Lucas Gama - Passarim</v>
      </c>
      <c r="BG18" s="31">
        <f t="shared" si="10"/>
        <v>45</v>
      </c>
      <c r="BH18">
        <f>COUNTIF(BG$5:$BG18,BG18)</f>
        <v>1</v>
      </c>
      <c r="BI18" t="str">
        <f t="shared" si="30"/>
        <v>451</v>
      </c>
      <c r="BK18" s="158">
        <v>14</v>
      </c>
      <c r="BL18" s="30" t="str">
        <f t="shared" si="11"/>
        <v>Felipe Horsts</v>
      </c>
      <c r="BM18" s="31">
        <f t="shared" si="12"/>
        <v>9</v>
      </c>
      <c r="BN18">
        <f>COUNTIF(BM$5:$BM18,BM18)</f>
        <v>2</v>
      </c>
      <c r="BO18" t="str">
        <f t="shared" si="31"/>
        <v>92</v>
      </c>
    </row>
    <row r="19" spans="2:67" x14ac:dyDescent="0.25">
      <c r="B19" s="21" t="str">
        <f>JAN!B19</f>
        <v>Henrique Viza</v>
      </c>
      <c r="C19" s="105" t="s">
        <v>59</v>
      </c>
      <c r="D19" s="159">
        <f>SUM(JAN:DEZ!AB19)</f>
        <v>19</v>
      </c>
      <c r="E19" s="7">
        <f t="shared" si="13"/>
        <v>0.42222222222222222</v>
      </c>
      <c r="F19" s="3">
        <f>SUM(JAN:DEZ!AC19)</f>
        <v>38</v>
      </c>
      <c r="G19" s="3">
        <f>SUM(JAN:DEZ!AD19)</f>
        <v>22</v>
      </c>
      <c r="H19" s="3">
        <f>SUM(JAN:DEZ!AE19)</f>
        <v>60</v>
      </c>
      <c r="I19" s="3">
        <f>SUM(JAN:DEZ!AF19)</f>
        <v>5</v>
      </c>
      <c r="J19" s="10">
        <f>IFERROR(AVERAGE(JAN:DEZ!AG19),"-")</f>
        <v>6.1605555555555558</v>
      </c>
      <c r="K19" s="72">
        <f>COUNTIF(F$5:$F19,F19)</f>
        <v>1</v>
      </c>
      <c r="L19" s="40" t="str">
        <f t="shared" si="14"/>
        <v>381</v>
      </c>
      <c r="M19" s="40">
        <f>COUNTIF(G$5:$G19,G19)</f>
        <v>1</v>
      </c>
      <c r="N19" s="40" t="str">
        <f t="shared" si="15"/>
        <v>221</v>
      </c>
      <c r="O19" s="40">
        <f>COUNTIF(E$5:$E19,E19)</f>
        <v>1</v>
      </c>
      <c r="P19" s="130" t="str">
        <f t="shared" si="16"/>
        <v>0,4222222222222221</v>
      </c>
      <c r="Q19" s="130">
        <f>COUNTIF(H$5:$H19,H19)</f>
        <v>1</v>
      </c>
      <c r="R19" s="130" t="str">
        <f t="shared" si="17"/>
        <v>601</v>
      </c>
      <c r="S19" s="130">
        <f>COUNTIF(I$5:$I19,I19)</f>
        <v>1</v>
      </c>
      <c r="T19" s="84" t="str">
        <f t="shared" si="18"/>
        <v>51</v>
      </c>
      <c r="V19" s="49">
        <v>15</v>
      </c>
      <c r="W19" s="30" t="str">
        <f t="shared" si="19"/>
        <v>Wanderson Santiago</v>
      </c>
      <c r="X19" s="31">
        <f t="shared" si="20"/>
        <v>25</v>
      </c>
      <c r="Y19" s="33">
        <f>COUNTIF(X$5:$X19,X19)</f>
        <v>1</v>
      </c>
      <c r="Z19" s="33" t="str">
        <f t="shared" si="21"/>
        <v>251</v>
      </c>
      <c r="AA19" s="39"/>
      <c r="AB19" s="49">
        <v>15</v>
      </c>
      <c r="AC19" s="30" t="str">
        <f t="shared" si="22"/>
        <v>Reinaldo Santana</v>
      </c>
      <c r="AD19" s="31">
        <f t="shared" si="23"/>
        <v>19</v>
      </c>
      <c r="AE19" s="39">
        <f>COUNTIF(AD$5:$AD19,AD19)</f>
        <v>1</v>
      </c>
      <c r="AF19" s="39" t="str">
        <f t="shared" si="24"/>
        <v>191</v>
      </c>
      <c r="AG19" s="39"/>
      <c r="AH19" s="49">
        <v>15</v>
      </c>
      <c r="AI19" s="30" t="str">
        <f t="shared" si="0"/>
        <v>Lucas Leite - Coxinha</v>
      </c>
      <c r="AJ19" s="32">
        <f t="shared" si="1"/>
        <v>5.8870909090909098</v>
      </c>
      <c r="AK19" s="56"/>
      <c r="AL19" s="158">
        <v>15</v>
      </c>
      <c r="AM19" s="30" t="str">
        <f t="shared" si="2"/>
        <v>Douglas DG (GK)</v>
      </c>
      <c r="AN19" s="86">
        <f t="shared" si="3"/>
        <v>0.57777777777777772</v>
      </c>
      <c r="AO19" s="76">
        <f>COUNTIF(AN$5:$AN19,AN19)</f>
        <v>1</v>
      </c>
      <c r="AP19" s="76" t="str">
        <f t="shared" si="25"/>
        <v>0,5777777777777781</v>
      </c>
      <c r="AR19" s="54" t="str">
        <f t="shared" si="26"/>
        <v/>
      </c>
      <c r="AS19" s="55" t="str">
        <f t="shared" si="27"/>
        <v/>
      </c>
      <c r="AT19" s="54">
        <f t="shared" si="28"/>
        <v>6.1605555555555558</v>
      </c>
      <c r="AU19" s="54" t="str">
        <f t="shared" si="29"/>
        <v/>
      </c>
      <c r="AV19" s="54"/>
      <c r="AW19" s="54" t="str">
        <f t="shared" si="4"/>
        <v/>
      </c>
      <c r="AX19" s="54" t="str">
        <f t="shared" si="5"/>
        <v/>
      </c>
      <c r="AY19" s="54">
        <f t="shared" si="6"/>
        <v>6.1605555555555558</v>
      </c>
      <c r="AZ19" s="54" t="str">
        <f t="shared" si="7"/>
        <v/>
      </c>
      <c r="BC19" s="5">
        <f t="shared" si="8"/>
        <v>6.1605555555555558</v>
      </c>
      <c r="BE19" s="158">
        <v>15</v>
      </c>
      <c r="BF19" s="30" t="str">
        <f t="shared" si="9"/>
        <v>Pierre Paulo</v>
      </c>
      <c r="BG19" s="31">
        <f t="shared" si="10"/>
        <v>35</v>
      </c>
      <c r="BH19">
        <f>COUNTIF(BG$5:$BG19,BG19)</f>
        <v>1</v>
      </c>
      <c r="BI19" t="str">
        <f t="shared" si="30"/>
        <v>351</v>
      </c>
      <c r="BK19" s="158">
        <v>15</v>
      </c>
      <c r="BL19" s="30" t="str">
        <f t="shared" si="11"/>
        <v>José Guilherme</v>
      </c>
      <c r="BM19" s="31">
        <f t="shared" si="12"/>
        <v>9</v>
      </c>
      <c r="BN19">
        <f>COUNTIF(BM$5:$BM19,BM19)</f>
        <v>3</v>
      </c>
      <c r="BO19" t="str">
        <f t="shared" si="31"/>
        <v>93</v>
      </c>
    </row>
    <row r="20" spans="2:67" x14ac:dyDescent="0.25">
      <c r="B20" s="21" t="str">
        <f>JAN!B20</f>
        <v>Jeferson Neves</v>
      </c>
      <c r="C20" s="105" t="s">
        <v>61</v>
      </c>
      <c r="D20" s="159">
        <f>SUM(JAN:DEZ!AB20)</f>
        <v>3</v>
      </c>
      <c r="E20" s="7">
        <f t="shared" si="13"/>
        <v>6.6666666666666666E-2</v>
      </c>
      <c r="F20" s="3">
        <f>SUM(JAN:DEZ!AC20)</f>
        <v>1</v>
      </c>
      <c r="G20" s="3">
        <f>SUM(JAN:DEZ!AD20)</f>
        <v>2</v>
      </c>
      <c r="H20" s="3">
        <f>SUM(JAN:DEZ!AE20)</f>
        <v>3</v>
      </c>
      <c r="I20" s="3">
        <f>SUM(JAN:DEZ!AF20)</f>
        <v>2</v>
      </c>
      <c r="J20" s="10">
        <f>IFERROR(AVERAGE(JAN:DEZ!AG20),"-")</f>
        <v>5.68</v>
      </c>
      <c r="K20" s="72">
        <f>COUNTIF(F$5:$F20,F20)</f>
        <v>1</v>
      </c>
      <c r="L20" s="40" t="str">
        <f t="shared" si="14"/>
        <v>11</v>
      </c>
      <c r="M20" s="40">
        <f>COUNTIF(G$5:$G20,G20)</f>
        <v>3</v>
      </c>
      <c r="N20" s="40" t="str">
        <f t="shared" si="15"/>
        <v>23</v>
      </c>
      <c r="O20" s="40">
        <f>COUNTIF(E$5:$E20,E20)</f>
        <v>1</v>
      </c>
      <c r="P20" s="130" t="str">
        <f t="shared" si="16"/>
        <v>0,06666666666666671</v>
      </c>
      <c r="Q20" s="130">
        <f>COUNTIF(H$5:$H20,H20)</f>
        <v>2</v>
      </c>
      <c r="R20" s="130" t="str">
        <f t="shared" si="17"/>
        <v>32</v>
      </c>
      <c r="S20" s="130">
        <f>COUNTIF(I$5:$I20,I20)</f>
        <v>3</v>
      </c>
      <c r="T20" s="84" t="str">
        <f t="shared" si="18"/>
        <v>23</v>
      </c>
      <c r="V20" s="49">
        <v>16</v>
      </c>
      <c r="W20" s="30" t="str">
        <f t="shared" si="19"/>
        <v>Kyrius Barros</v>
      </c>
      <c r="X20" s="31">
        <f t="shared" si="20"/>
        <v>19</v>
      </c>
      <c r="Y20" s="33">
        <f>COUNTIF(X$5:$X20,X20)</f>
        <v>1</v>
      </c>
      <c r="Z20" s="33" t="str">
        <f t="shared" si="21"/>
        <v>191</v>
      </c>
      <c r="AA20" s="39"/>
      <c r="AB20" s="49">
        <v>16</v>
      </c>
      <c r="AC20" s="30" t="str">
        <f t="shared" si="22"/>
        <v>Ruan Amorim</v>
      </c>
      <c r="AD20" s="31">
        <f t="shared" si="23"/>
        <v>16</v>
      </c>
      <c r="AE20" s="39">
        <f>COUNTIF(AD$5:$AD20,AD20)</f>
        <v>1</v>
      </c>
      <c r="AF20" s="39" t="str">
        <f t="shared" si="24"/>
        <v>161</v>
      </c>
      <c r="AG20" s="39"/>
      <c r="AH20" s="49">
        <v>16</v>
      </c>
      <c r="AI20" s="30" t="str">
        <f t="shared" si="0"/>
        <v>Ricardo Marchesini (GK)</v>
      </c>
      <c r="AJ20" s="32">
        <f t="shared" si="1"/>
        <v>5.8375000000000004</v>
      </c>
      <c r="AK20" s="56"/>
      <c r="AL20" s="158">
        <v>16</v>
      </c>
      <c r="AM20" s="30" t="str">
        <f t="shared" si="2"/>
        <v>Gabriel Castro</v>
      </c>
      <c r="AN20" s="86">
        <f t="shared" si="3"/>
        <v>0.57777777777777772</v>
      </c>
      <c r="AO20" s="76">
        <f>COUNTIF(AN$5:$AN20,AN20)</f>
        <v>2</v>
      </c>
      <c r="AP20" s="76" t="str">
        <f t="shared" si="25"/>
        <v>0,5777777777777782</v>
      </c>
      <c r="AR20" s="54" t="str">
        <f t="shared" si="26"/>
        <v/>
      </c>
      <c r="AS20" s="55">
        <f t="shared" si="27"/>
        <v>5.68</v>
      </c>
      <c r="AT20" s="54" t="str">
        <f t="shared" si="28"/>
        <v/>
      </c>
      <c r="AU20" s="54" t="str">
        <f t="shared" si="29"/>
        <v/>
      </c>
      <c r="AV20" s="54"/>
      <c r="AW20" s="54" t="str">
        <f t="shared" si="4"/>
        <v/>
      </c>
      <c r="AX20" s="54" t="str">
        <f t="shared" si="5"/>
        <v/>
      </c>
      <c r="AY20" s="54" t="str">
        <f t="shared" si="6"/>
        <v/>
      </c>
      <c r="AZ20" s="54" t="str">
        <f t="shared" si="7"/>
        <v/>
      </c>
      <c r="BC20" s="5" t="str">
        <f t="shared" si="8"/>
        <v/>
      </c>
      <c r="BE20" s="158">
        <v>16</v>
      </c>
      <c r="BF20" s="30" t="str">
        <f t="shared" si="9"/>
        <v>Reinaldo Santana</v>
      </c>
      <c r="BG20" s="31">
        <f t="shared" si="10"/>
        <v>34</v>
      </c>
      <c r="BH20">
        <f>COUNTIF(BG$5:$BG20,BG20)</f>
        <v>1</v>
      </c>
      <c r="BI20" t="str">
        <f t="shared" si="30"/>
        <v>341</v>
      </c>
      <c r="BK20" s="158">
        <v>16</v>
      </c>
      <c r="BL20" s="30" t="str">
        <f t="shared" si="11"/>
        <v>Matheus Gomes</v>
      </c>
      <c r="BM20" s="31">
        <f t="shared" si="12"/>
        <v>9</v>
      </c>
      <c r="BN20">
        <f>COUNTIF(BM$5:$BM20,BM20)</f>
        <v>4</v>
      </c>
      <c r="BO20" t="str">
        <f t="shared" si="31"/>
        <v>94</v>
      </c>
    </row>
    <row r="21" spans="2:67" x14ac:dyDescent="0.25">
      <c r="B21" s="21" t="str">
        <f>JAN!B21</f>
        <v>João Victor - Bazim</v>
      </c>
      <c r="C21" s="105" t="s">
        <v>61</v>
      </c>
      <c r="D21" s="159">
        <f>SUM(JAN:DEZ!AB21)</f>
        <v>27</v>
      </c>
      <c r="E21" s="7">
        <f t="shared" si="13"/>
        <v>0.6</v>
      </c>
      <c r="F21" s="3">
        <f>SUM(JAN:DEZ!AC21)</f>
        <v>11</v>
      </c>
      <c r="G21" s="3">
        <f>SUM(JAN:DEZ!AD21)</f>
        <v>12</v>
      </c>
      <c r="H21" s="3">
        <f>SUM(JAN:DEZ!AE21)</f>
        <v>23</v>
      </c>
      <c r="I21" s="3">
        <f>SUM(JAN:DEZ!AF21)</f>
        <v>8</v>
      </c>
      <c r="J21" s="10">
        <f>IFERROR(AVERAGE(JAN:DEZ!AG21),"-")</f>
        <v>5.3115151515151515</v>
      </c>
      <c r="K21" s="72">
        <f>COUNTIF(F$5:$F21,F21)</f>
        <v>1</v>
      </c>
      <c r="L21" s="40" t="str">
        <f t="shared" si="14"/>
        <v>111</v>
      </c>
      <c r="M21" s="40">
        <f>COUNTIF(G$5:$G21,G21)</f>
        <v>1</v>
      </c>
      <c r="N21" s="40" t="str">
        <f t="shared" si="15"/>
        <v>121</v>
      </c>
      <c r="O21" s="40">
        <f>COUNTIF(E$5:$E21,E21)</f>
        <v>1</v>
      </c>
      <c r="P21" s="130" t="str">
        <f t="shared" si="16"/>
        <v>0,61</v>
      </c>
      <c r="Q21" s="130">
        <f>COUNTIF(H$5:$H21,H21)</f>
        <v>1</v>
      </c>
      <c r="R21" s="130" t="str">
        <f t="shared" si="17"/>
        <v>231</v>
      </c>
      <c r="S21" s="130">
        <f>COUNTIF(I$5:$I21,I21)</f>
        <v>2</v>
      </c>
      <c r="T21" s="84" t="str">
        <f t="shared" si="18"/>
        <v>82</v>
      </c>
      <c r="V21" s="49">
        <v>17</v>
      </c>
      <c r="W21" s="30" t="str">
        <f t="shared" si="19"/>
        <v>Marcelo Castro</v>
      </c>
      <c r="X21" s="31">
        <f t="shared" si="20"/>
        <v>19</v>
      </c>
      <c r="Y21" s="33">
        <f>COUNTIF(X$5:$X21,X21)</f>
        <v>2</v>
      </c>
      <c r="Z21" s="33" t="str">
        <f t="shared" si="21"/>
        <v>192</v>
      </c>
      <c r="AA21" s="39"/>
      <c r="AB21" s="49">
        <v>17</v>
      </c>
      <c r="AC21" s="30" t="str">
        <f t="shared" si="22"/>
        <v>Allan Borela</v>
      </c>
      <c r="AD21" s="31">
        <f t="shared" si="23"/>
        <v>14</v>
      </c>
      <c r="AE21" s="39">
        <f>COUNTIF(AD$5:$AD21,AD21)</f>
        <v>1</v>
      </c>
      <c r="AF21" s="39" t="str">
        <f t="shared" si="24"/>
        <v>141</v>
      </c>
      <c r="AG21" s="39"/>
      <c r="AH21" s="49">
        <v>17</v>
      </c>
      <c r="AI21" s="30" t="str">
        <f t="shared" si="0"/>
        <v>Matheus Gomes</v>
      </c>
      <c r="AJ21" s="32">
        <f t="shared" si="1"/>
        <v>5.8201212121212116</v>
      </c>
      <c r="AK21" s="56"/>
      <c r="AL21" s="158">
        <v>17</v>
      </c>
      <c r="AM21" s="30" t="str">
        <f t="shared" si="2"/>
        <v>Rafael Mendes</v>
      </c>
      <c r="AN21" s="86">
        <f t="shared" si="3"/>
        <v>0.48888888888888887</v>
      </c>
      <c r="AO21" s="76">
        <f>COUNTIF(AN$5:$AN21,AN21)</f>
        <v>1</v>
      </c>
      <c r="AP21" s="76" t="str">
        <f t="shared" si="25"/>
        <v>0,4888888888888891</v>
      </c>
      <c r="AR21" s="54" t="str">
        <f t="shared" si="26"/>
        <v/>
      </c>
      <c r="AS21" s="55">
        <f t="shared" si="27"/>
        <v>5.3115151515151515</v>
      </c>
      <c r="AT21" s="54" t="str">
        <f t="shared" si="28"/>
        <v/>
      </c>
      <c r="AU21" s="54" t="str">
        <f t="shared" si="29"/>
        <v/>
      </c>
      <c r="AV21" s="54"/>
      <c r="AW21" s="54" t="str">
        <f t="shared" si="4"/>
        <v/>
      </c>
      <c r="AX21" s="54">
        <f t="shared" si="5"/>
        <v>5.3115151515151515</v>
      </c>
      <c r="AY21" s="54" t="str">
        <f t="shared" si="6"/>
        <v/>
      </c>
      <c r="AZ21" s="54" t="str">
        <f t="shared" si="7"/>
        <v/>
      </c>
      <c r="BC21" s="5">
        <f t="shared" si="8"/>
        <v>5.3115151515151515</v>
      </c>
      <c r="BE21" s="158">
        <v>17</v>
      </c>
      <c r="BF21" s="30" t="str">
        <f t="shared" si="9"/>
        <v>Wanderson Santiago</v>
      </c>
      <c r="BG21" s="31">
        <f t="shared" si="10"/>
        <v>34</v>
      </c>
      <c r="BH21">
        <f>COUNTIF(BG$5:$BG21,BG21)</f>
        <v>2</v>
      </c>
      <c r="BI21" t="str">
        <f t="shared" si="30"/>
        <v>342</v>
      </c>
      <c r="BK21" s="158">
        <v>17</v>
      </c>
      <c r="BL21" s="30" t="str">
        <f t="shared" si="11"/>
        <v>Gabriel Castro</v>
      </c>
      <c r="BM21" s="31">
        <f t="shared" si="12"/>
        <v>8</v>
      </c>
      <c r="BN21">
        <f>COUNTIF(BM$5:$BM21,BM21)</f>
        <v>1</v>
      </c>
      <c r="BO21" t="str">
        <f t="shared" si="31"/>
        <v>81</v>
      </c>
    </row>
    <row r="22" spans="2:67" x14ac:dyDescent="0.25">
      <c r="B22" s="21" t="str">
        <f>JAN!B22</f>
        <v>João Vitor Nunes</v>
      </c>
      <c r="C22" s="105" t="s">
        <v>60</v>
      </c>
      <c r="D22" s="159">
        <f>SUM(JAN:DEZ!AB22)</f>
        <v>38</v>
      </c>
      <c r="E22" s="7">
        <f t="shared" si="13"/>
        <v>0.84444444444444444</v>
      </c>
      <c r="F22" s="3">
        <f>SUM(JAN:DEZ!AC22)</f>
        <v>92</v>
      </c>
      <c r="G22" s="3">
        <f>SUM(JAN:DEZ!AD22)</f>
        <v>40</v>
      </c>
      <c r="H22" s="3">
        <f>SUM(JAN:DEZ!AE22)</f>
        <v>132</v>
      </c>
      <c r="I22" s="3">
        <f>SUM(JAN:DEZ!AF22)</f>
        <v>13</v>
      </c>
      <c r="J22" s="10">
        <f>IFERROR(AVERAGE(JAN:DEZ!AG22),"-")</f>
        <v>5.2606666666666664</v>
      </c>
      <c r="K22" s="72">
        <f>COUNTIF(F$5:$F22,F22)</f>
        <v>1</v>
      </c>
      <c r="L22" s="40" t="str">
        <f t="shared" si="14"/>
        <v>921</v>
      </c>
      <c r="M22" s="40">
        <f>COUNTIF(G$5:$G22,G22)</f>
        <v>2</v>
      </c>
      <c r="N22" s="40" t="str">
        <f t="shared" si="15"/>
        <v>402</v>
      </c>
      <c r="O22" s="40">
        <f>COUNTIF(E$5:$E22,E22)</f>
        <v>1</v>
      </c>
      <c r="P22" s="130" t="str">
        <f t="shared" si="16"/>
        <v>0,8444444444444441</v>
      </c>
      <c r="Q22" s="130">
        <f>COUNTIF(H$5:$H22,H22)</f>
        <v>1</v>
      </c>
      <c r="R22" s="130" t="str">
        <f t="shared" si="17"/>
        <v>1321</v>
      </c>
      <c r="S22" s="130">
        <f>COUNTIF(I$5:$I22,I22)</f>
        <v>3</v>
      </c>
      <c r="T22" s="84" t="str">
        <f t="shared" si="18"/>
        <v>133</v>
      </c>
      <c r="V22" s="49">
        <v>18</v>
      </c>
      <c r="W22" s="30" t="str">
        <f t="shared" si="19"/>
        <v>Reinaldo Santana</v>
      </c>
      <c r="X22" s="31">
        <f t="shared" si="20"/>
        <v>15</v>
      </c>
      <c r="Y22" s="33">
        <f>COUNTIF(X$5:$X22,X22)</f>
        <v>1</v>
      </c>
      <c r="Z22" s="33" t="str">
        <f t="shared" si="21"/>
        <v>151</v>
      </c>
      <c r="AA22" s="39"/>
      <c r="AB22" s="49">
        <v>18</v>
      </c>
      <c r="AC22" s="30" t="str">
        <f t="shared" si="22"/>
        <v>João Victor - Bazim</v>
      </c>
      <c r="AD22" s="31">
        <f t="shared" si="23"/>
        <v>12</v>
      </c>
      <c r="AE22" s="39">
        <f>COUNTIF(AD$5:$AD22,AD22)</f>
        <v>1</v>
      </c>
      <c r="AF22" s="39" t="str">
        <f t="shared" si="24"/>
        <v>121</v>
      </c>
      <c r="AG22" s="39"/>
      <c r="AH22" s="49">
        <v>18</v>
      </c>
      <c r="AI22" s="30" t="str">
        <f t="shared" si="0"/>
        <v>David Melo</v>
      </c>
      <c r="AJ22" s="32">
        <f t="shared" si="1"/>
        <v>5.8070370370370377</v>
      </c>
      <c r="AK22" s="56"/>
      <c r="AL22" s="158">
        <v>18</v>
      </c>
      <c r="AM22" s="30" t="str">
        <f t="shared" si="2"/>
        <v>Leo Bitencourt</v>
      </c>
      <c r="AN22" s="86">
        <f t="shared" si="3"/>
        <v>0.46666666666666667</v>
      </c>
      <c r="AO22" s="76">
        <f>COUNTIF(AN$5:$AN22,AN22)</f>
        <v>1</v>
      </c>
      <c r="AP22" s="76" t="str">
        <f t="shared" si="25"/>
        <v>0,4666666666666671</v>
      </c>
      <c r="AR22" s="54" t="str">
        <f t="shared" si="26"/>
        <v/>
      </c>
      <c r="AS22" s="55" t="str">
        <f t="shared" si="27"/>
        <v/>
      </c>
      <c r="AT22" s="54" t="str">
        <f t="shared" si="28"/>
        <v/>
      </c>
      <c r="AU22" s="54">
        <f t="shared" si="29"/>
        <v>5.2606666666666664</v>
      </c>
      <c r="AV22" s="54"/>
      <c r="AW22" s="54" t="str">
        <f t="shared" si="4"/>
        <v/>
      </c>
      <c r="AX22" s="54" t="str">
        <f t="shared" si="5"/>
        <v/>
      </c>
      <c r="AY22" s="54" t="str">
        <f t="shared" si="6"/>
        <v/>
      </c>
      <c r="AZ22" s="54">
        <f t="shared" si="7"/>
        <v>5.2606666666666664</v>
      </c>
      <c r="BC22" s="5">
        <f t="shared" si="8"/>
        <v>5.2606666666666664</v>
      </c>
      <c r="BE22" s="158">
        <v>18</v>
      </c>
      <c r="BF22" s="30" t="str">
        <f t="shared" si="9"/>
        <v>Ruan Amorim</v>
      </c>
      <c r="BG22" s="31">
        <f t="shared" si="10"/>
        <v>30</v>
      </c>
      <c r="BH22">
        <f>COUNTIF(BG$5:$BG22,BG22)</f>
        <v>1</v>
      </c>
      <c r="BI22" t="str">
        <f t="shared" si="30"/>
        <v>301</v>
      </c>
      <c r="BK22" s="158">
        <v>18</v>
      </c>
      <c r="BL22" s="30" t="str">
        <f t="shared" si="11"/>
        <v>João Victor - Bazim</v>
      </c>
      <c r="BM22" s="31">
        <f t="shared" si="12"/>
        <v>8</v>
      </c>
      <c r="BN22">
        <f>COUNTIF(BM$5:$BM22,BM22)</f>
        <v>2</v>
      </c>
      <c r="BO22" t="str">
        <f t="shared" si="31"/>
        <v>82</v>
      </c>
    </row>
    <row r="23" spans="2:67" x14ac:dyDescent="0.25">
      <c r="B23" s="21" t="str">
        <f>JAN!B23</f>
        <v>José Guilherme</v>
      </c>
      <c r="C23" s="105" t="s">
        <v>59</v>
      </c>
      <c r="D23" s="159">
        <f>SUM(JAN:DEZ!AB23)</f>
        <v>29</v>
      </c>
      <c r="E23" s="7">
        <f t="shared" si="13"/>
        <v>0.64444444444444449</v>
      </c>
      <c r="F23" s="3">
        <f>SUM(JAN:DEZ!AC23)</f>
        <v>62</v>
      </c>
      <c r="G23" s="3">
        <f>SUM(JAN:DEZ!AD23)</f>
        <v>43</v>
      </c>
      <c r="H23" s="3">
        <f>SUM(JAN:DEZ!AE23)</f>
        <v>105</v>
      </c>
      <c r="I23" s="3">
        <f>SUM(JAN:DEZ!AF23)</f>
        <v>9</v>
      </c>
      <c r="J23" s="10">
        <f>IFERROR(AVERAGE(JAN:DEZ!AG23),"-")</f>
        <v>6.0566666666666675</v>
      </c>
      <c r="K23" s="72">
        <f>COUNTIF(F$5:$F23,F23)</f>
        <v>1</v>
      </c>
      <c r="L23" s="40" t="str">
        <f t="shared" si="14"/>
        <v>621</v>
      </c>
      <c r="M23" s="40">
        <f>COUNTIF(G$5:$G23,G23)</f>
        <v>1</v>
      </c>
      <c r="N23" s="40" t="str">
        <f t="shared" si="15"/>
        <v>431</v>
      </c>
      <c r="O23" s="40">
        <f>COUNTIF(E$5:$E23,E23)</f>
        <v>1</v>
      </c>
      <c r="P23" s="130" t="str">
        <f t="shared" si="16"/>
        <v>0,6444444444444441</v>
      </c>
      <c r="Q23" s="130">
        <f>COUNTIF(H$5:$H23,H23)</f>
        <v>1</v>
      </c>
      <c r="R23" s="130" t="str">
        <f t="shared" si="17"/>
        <v>1051</v>
      </c>
      <c r="S23" s="130">
        <f>COUNTIF(I$5:$I23,I23)</f>
        <v>3</v>
      </c>
      <c r="T23" s="84" t="str">
        <f t="shared" si="18"/>
        <v>93</v>
      </c>
      <c r="V23" s="49">
        <v>19</v>
      </c>
      <c r="W23" s="30" t="str">
        <f t="shared" si="19"/>
        <v>David Melo</v>
      </c>
      <c r="X23" s="31">
        <f t="shared" si="20"/>
        <v>14</v>
      </c>
      <c r="Y23" s="33">
        <f>COUNTIF(X$5:$X23,X23)</f>
        <v>1</v>
      </c>
      <c r="Z23" s="33" t="str">
        <f t="shared" si="21"/>
        <v>141</v>
      </c>
      <c r="AA23" s="39"/>
      <c r="AB23" s="49">
        <v>19</v>
      </c>
      <c r="AC23" s="30" t="str">
        <f t="shared" si="22"/>
        <v>Kyrius Barros</v>
      </c>
      <c r="AD23" s="31">
        <f t="shared" si="23"/>
        <v>10</v>
      </c>
      <c r="AE23" s="39">
        <f>COUNTIF(AD$5:$AD23,AD23)</f>
        <v>1</v>
      </c>
      <c r="AF23" s="39" t="str">
        <f t="shared" si="24"/>
        <v>101</v>
      </c>
      <c r="AG23" s="39"/>
      <c r="AH23" s="49">
        <v>19</v>
      </c>
      <c r="AI23" s="30" t="str">
        <f t="shared" si="0"/>
        <v>Leo Hubner</v>
      </c>
      <c r="AJ23" s="32">
        <f t="shared" si="1"/>
        <v>5.8000000000000007</v>
      </c>
      <c r="AK23" s="56"/>
      <c r="AL23" s="158">
        <v>19</v>
      </c>
      <c r="AM23" s="30" t="str">
        <f t="shared" si="2"/>
        <v>Marco Antonio</v>
      </c>
      <c r="AN23" s="86">
        <f t="shared" si="3"/>
        <v>0.46666666666666667</v>
      </c>
      <c r="AO23" s="76">
        <f>COUNTIF(AN$5:$AN23,AN23)</f>
        <v>2</v>
      </c>
      <c r="AP23" s="76" t="str">
        <f t="shared" si="25"/>
        <v>0,4666666666666672</v>
      </c>
      <c r="AR23" s="54" t="str">
        <f t="shared" si="26"/>
        <v/>
      </c>
      <c r="AS23" s="55" t="str">
        <f t="shared" si="27"/>
        <v/>
      </c>
      <c r="AT23" s="54">
        <f t="shared" si="28"/>
        <v>6.0566666666666675</v>
      </c>
      <c r="AU23" s="54" t="str">
        <f t="shared" si="29"/>
        <v/>
      </c>
      <c r="AV23" s="54"/>
      <c r="AW23" s="54" t="str">
        <f t="shared" si="4"/>
        <v/>
      </c>
      <c r="AX23" s="54" t="str">
        <f t="shared" si="5"/>
        <v/>
      </c>
      <c r="AY23" s="54">
        <f t="shared" si="6"/>
        <v>6.0566666666666675</v>
      </c>
      <c r="AZ23" s="54" t="str">
        <f t="shared" si="7"/>
        <v/>
      </c>
      <c r="BC23" s="5">
        <f t="shared" si="8"/>
        <v>6.0566666666666675</v>
      </c>
      <c r="BE23" s="158">
        <v>19</v>
      </c>
      <c r="BF23" s="30" t="str">
        <f t="shared" si="9"/>
        <v>Kyrius Barros</v>
      </c>
      <c r="BG23" s="31">
        <f t="shared" si="10"/>
        <v>29</v>
      </c>
      <c r="BH23">
        <f>COUNTIF(BG$5:$BG23,BG23)</f>
        <v>1</v>
      </c>
      <c r="BI23" t="str">
        <f t="shared" si="30"/>
        <v>291</v>
      </c>
      <c r="BK23" s="158">
        <v>19</v>
      </c>
      <c r="BL23" s="30" t="str">
        <f t="shared" si="11"/>
        <v>Leo Bitencourt</v>
      </c>
      <c r="BM23" s="31">
        <f t="shared" si="12"/>
        <v>8</v>
      </c>
      <c r="BN23">
        <f>COUNTIF(BM$5:$BM23,BM23)</f>
        <v>3</v>
      </c>
      <c r="BO23" t="str">
        <f t="shared" si="31"/>
        <v>83</v>
      </c>
    </row>
    <row r="24" spans="2:67" ht="15.75" thickBot="1" x14ac:dyDescent="0.3">
      <c r="B24" s="21" t="str">
        <f>JAN!B24</f>
        <v>Kyrius Barros</v>
      </c>
      <c r="C24" s="105" t="s">
        <v>60</v>
      </c>
      <c r="D24" s="159">
        <f>SUM(JAN:DEZ!AB24)</f>
        <v>11</v>
      </c>
      <c r="E24" s="7">
        <f t="shared" si="13"/>
        <v>0.24444444444444444</v>
      </c>
      <c r="F24" s="3">
        <f>SUM(JAN:DEZ!AC24)</f>
        <v>19</v>
      </c>
      <c r="G24" s="3">
        <f>SUM(JAN:DEZ!AD24)</f>
        <v>10</v>
      </c>
      <c r="H24" s="3">
        <f>SUM(JAN:DEZ!AE24)</f>
        <v>29</v>
      </c>
      <c r="I24" s="3">
        <f>SUM(JAN:DEZ!AF24)</f>
        <v>2</v>
      </c>
      <c r="J24" s="10">
        <f>IFERROR(AVERAGE(JAN:DEZ!AG24),"-")</f>
        <v>4.8090000000000002</v>
      </c>
      <c r="K24" s="72">
        <f>COUNTIF(F$5:$F24,F24)</f>
        <v>1</v>
      </c>
      <c r="L24" s="40" t="str">
        <f t="shared" si="14"/>
        <v>191</v>
      </c>
      <c r="M24" s="40">
        <f>COUNTIF(G$5:$G24,G24)</f>
        <v>1</v>
      </c>
      <c r="N24" s="40" t="str">
        <f t="shared" si="15"/>
        <v>101</v>
      </c>
      <c r="O24" s="40">
        <f>COUNTIF(E$5:$E24,E24)</f>
        <v>1</v>
      </c>
      <c r="P24" s="130" t="str">
        <f t="shared" si="16"/>
        <v>0,2444444444444441</v>
      </c>
      <c r="Q24" s="130">
        <f>COUNTIF(H$5:$H24,H24)</f>
        <v>1</v>
      </c>
      <c r="R24" s="130" t="str">
        <f t="shared" si="17"/>
        <v>291</v>
      </c>
      <c r="S24" s="130">
        <f>COUNTIF(I$5:$I24,I24)</f>
        <v>4</v>
      </c>
      <c r="T24" s="84" t="str">
        <f t="shared" si="18"/>
        <v>24</v>
      </c>
      <c r="V24" s="50">
        <v>20</v>
      </c>
      <c r="W24" s="34" t="str">
        <f t="shared" si="19"/>
        <v>Ruan Amorim</v>
      </c>
      <c r="X24" s="35">
        <f t="shared" si="20"/>
        <v>14</v>
      </c>
      <c r="Y24" s="33">
        <f>COUNTIF(X$5:$X24,X24)</f>
        <v>2</v>
      </c>
      <c r="Z24" s="33" t="str">
        <f t="shared" si="21"/>
        <v>142</v>
      </c>
      <c r="AA24" s="39"/>
      <c r="AB24" s="50">
        <v>20</v>
      </c>
      <c r="AC24" s="34" t="str">
        <f t="shared" si="22"/>
        <v>Lucas Gama - Passarim</v>
      </c>
      <c r="AD24" s="35">
        <f t="shared" si="23"/>
        <v>10</v>
      </c>
      <c r="AE24" s="39">
        <f>COUNTIF(AD$5:$AD24,AD24)</f>
        <v>2</v>
      </c>
      <c r="AF24" s="39" t="str">
        <f t="shared" si="24"/>
        <v>102</v>
      </c>
      <c r="AG24" s="39"/>
      <c r="AH24" s="49">
        <v>20</v>
      </c>
      <c r="AI24" s="30" t="str">
        <f t="shared" si="0"/>
        <v>Ruan Amorim</v>
      </c>
      <c r="AJ24" s="32">
        <f t="shared" si="1"/>
        <v>5.7792727272727271</v>
      </c>
      <c r="AK24" s="56"/>
      <c r="AL24" s="158">
        <v>20</v>
      </c>
      <c r="AM24" s="30" t="str">
        <f t="shared" si="2"/>
        <v>Pablo Brandão</v>
      </c>
      <c r="AN24" s="86">
        <f t="shared" si="3"/>
        <v>0.46666666666666667</v>
      </c>
      <c r="AO24" s="76">
        <f>COUNTIF(AN$5:$AN24,AN24)</f>
        <v>3</v>
      </c>
      <c r="AP24" s="76" t="str">
        <f t="shared" si="25"/>
        <v>0,4666666666666673</v>
      </c>
      <c r="AR24" s="54" t="str">
        <f t="shared" si="26"/>
        <v/>
      </c>
      <c r="AS24" s="55" t="str">
        <f t="shared" si="27"/>
        <v/>
      </c>
      <c r="AT24" s="54" t="str">
        <f t="shared" si="28"/>
        <v/>
      </c>
      <c r="AU24" s="54">
        <f t="shared" si="29"/>
        <v>4.8090000000000002</v>
      </c>
      <c r="AV24" s="54"/>
      <c r="AW24" s="54" t="str">
        <f t="shared" si="4"/>
        <v/>
      </c>
      <c r="AX24" s="54" t="str">
        <f t="shared" si="5"/>
        <v/>
      </c>
      <c r="AY24" s="54" t="str">
        <f t="shared" si="6"/>
        <v/>
      </c>
      <c r="AZ24" s="54" t="str">
        <f t="shared" si="7"/>
        <v/>
      </c>
      <c r="BC24" s="5" t="str">
        <f t="shared" si="8"/>
        <v/>
      </c>
      <c r="BE24" s="158">
        <v>20</v>
      </c>
      <c r="BF24" s="30" t="str">
        <f t="shared" si="9"/>
        <v>Marcelo Castro</v>
      </c>
      <c r="BG24" s="31">
        <f t="shared" si="10"/>
        <v>27</v>
      </c>
      <c r="BH24">
        <f>COUNTIF(BG$5:$BG24,BG24)</f>
        <v>1</v>
      </c>
      <c r="BI24" t="str">
        <f t="shared" si="30"/>
        <v>271</v>
      </c>
      <c r="BK24" s="158">
        <v>20</v>
      </c>
      <c r="BL24" s="30" t="str">
        <f t="shared" si="11"/>
        <v>Marco Antonio</v>
      </c>
      <c r="BM24" s="31">
        <f t="shared" si="12"/>
        <v>7</v>
      </c>
      <c r="BN24">
        <f>COUNTIF(BM$5:$BM24,BM24)</f>
        <v>1</v>
      </c>
      <c r="BO24" t="str">
        <f t="shared" si="31"/>
        <v>71</v>
      </c>
    </row>
    <row r="25" spans="2:67" x14ac:dyDescent="0.25">
      <c r="B25" s="21" t="str">
        <f>JAN!B25</f>
        <v>Leo Bitencourt</v>
      </c>
      <c r="C25" s="105" t="s">
        <v>61</v>
      </c>
      <c r="D25" s="159">
        <f>SUM(JAN:DEZ!AB25)</f>
        <v>21</v>
      </c>
      <c r="E25" s="7">
        <f t="shared" si="13"/>
        <v>0.46666666666666667</v>
      </c>
      <c r="F25" s="3">
        <f>SUM(JAN:DEZ!AC25)</f>
        <v>8</v>
      </c>
      <c r="G25" s="3">
        <f>SUM(JAN:DEZ!AD25)</f>
        <v>8</v>
      </c>
      <c r="H25" s="3">
        <f>SUM(JAN:DEZ!AE25)</f>
        <v>16</v>
      </c>
      <c r="I25" s="3">
        <f>SUM(JAN:DEZ!AF25)</f>
        <v>8</v>
      </c>
      <c r="J25" s="10">
        <f>IFERROR(AVERAGE(JAN:DEZ!AG25),"-")</f>
        <v>5.4672222222222224</v>
      </c>
      <c r="K25" s="72">
        <f>COUNTIF(F$5:$F25,F25)</f>
        <v>2</v>
      </c>
      <c r="L25" s="40" t="str">
        <f t="shared" si="14"/>
        <v>82</v>
      </c>
      <c r="M25" s="40">
        <f>COUNTIF(G$5:$G25,G25)</f>
        <v>2</v>
      </c>
      <c r="N25" s="40" t="str">
        <f t="shared" si="15"/>
        <v>82</v>
      </c>
      <c r="O25" s="40">
        <f>COUNTIF(E$5:$E25,E25)</f>
        <v>1</v>
      </c>
      <c r="P25" s="130" t="str">
        <f t="shared" si="16"/>
        <v>0,4666666666666671</v>
      </c>
      <c r="Q25" s="130">
        <f>COUNTIF(H$5:$H25,H25)</f>
        <v>1</v>
      </c>
      <c r="R25" s="130" t="str">
        <f t="shared" si="17"/>
        <v>161</v>
      </c>
      <c r="S25" s="130">
        <f>COUNTIF(I$5:$I25,I25)</f>
        <v>3</v>
      </c>
      <c r="T25" s="84" t="str">
        <f t="shared" si="18"/>
        <v>83</v>
      </c>
      <c r="V25"/>
      <c r="W25"/>
      <c r="X25"/>
      <c r="Y25"/>
      <c r="Z25"/>
      <c r="AA25"/>
      <c r="AB25"/>
      <c r="AC25"/>
      <c r="AD25"/>
      <c r="AE25"/>
      <c r="AF25"/>
      <c r="AG25"/>
      <c r="AH25" s="49">
        <v>21</v>
      </c>
      <c r="AI25" s="30" t="str">
        <f t="shared" si="0"/>
        <v>Daniel Medeiros (GK)</v>
      </c>
      <c r="AJ25" s="32">
        <f t="shared" si="1"/>
        <v>5.7200000000000006</v>
      </c>
      <c r="AK25" s="56"/>
      <c r="AL25" s="158">
        <v>21</v>
      </c>
      <c r="AM25" s="30" t="str">
        <f t="shared" si="2"/>
        <v>Pedro Chequer</v>
      </c>
      <c r="AN25" s="86">
        <f t="shared" si="3"/>
        <v>0.46666666666666667</v>
      </c>
      <c r="AO25" s="76">
        <f>COUNTIF(AN$5:$AN25,AN25)</f>
        <v>4</v>
      </c>
      <c r="AP25" s="76" t="str">
        <f t="shared" si="25"/>
        <v>0,4666666666666674</v>
      </c>
      <c r="AR25" s="54" t="str">
        <f t="shared" si="26"/>
        <v/>
      </c>
      <c r="AS25" s="55">
        <f t="shared" si="27"/>
        <v>5.4672222222222224</v>
      </c>
      <c r="AT25" s="54" t="str">
        <f t="shared" si="28"/>
        <v/>
      </c>
      <c r="AU25" s="54" t="str">
        <f t="shared" si="29"/>
        <v/>
      </c>
      <c r="AV25" s="54"/>
      <c r="AW25" s="54" t="str">
        <f t="shared" si="4"/>
        <v/>
      </c>
      <c r="AX25" s="54">
        <f t="shared" si="5"/>
        <v>5.4672222222222224</v>
      </c>
      <c r="AY25" s="54" t="str">
        <f t="shared" si="6"/>
        <v/>
      </c>
      <c r="AZ25" s="54" t="str">
        <f t="shared" si="7"/>
        <v/>
      </c>
      <c r="BC25" s="5">
        <f t="shared" si="8"/>
        <v>5.4672222222222224</v>
      </c>
      <c r="BE25" s="158">
        <v>21</v>
      </c>
      <c r="BF25" s="30" t="str">
        <f t="shared" si="9"/>
        <v>João Victor - Bazim</v>
      </c>
      <c r="BG25" s="31">
        <f t="shared" si="10"/>
        <v>23</v>
      </c>
      <c r="BH25">
        <f>COUNTIF(BG$5:$BG25,BG25)</f>
        <v>1</v>
      </c>
      <c r="BI25" t="str">
        <f t="shared" si="30"/>
        <v>231</v>
      </c>
      <c r="BK25" s="158">
        <v>21</v>
      </c>
      <c r="BL25" s="30" t="str">
        <f t="shared" si="11"/>
        <v>Pedro Chequer</v>
      </c>
      <c r="BM25" s="31">
        <f t="shared" si="12"/>
        <v>7</v>
      </c>
      <c r="BN25">
        <f>COUNTIF(BM$5:$BM25,BM25)</f>
        <v>2</v>
      </c>
      <c r="BO25" t="str">
        <f t="shared" si="31"/>
        <v>72</v>
      </c>
    </row>
    <row r="26" spans="2:67" ht="15.75" thickBot="1" x14ac:dyDescent="0.3">
      <c r="B26" s="21" t="str">
        <f>JAN!B26</f>
        <v>Leo Hubner</v>
      </c>
      <c r="C26" s="105" t="s">
        <v>61</v>
      </c>
      <c r="D26" s="159">
        <f>SUM(JAN:DEZ!AB26)</f>
        <v>5</v>
      </c>
      <c r="E26" s="7">
        <f t="shared" si="13"/>
        <v>0.1111111111111111</v>
      </c>
      <c r="F26" s="3">
        <f>SUM(JAN:DEZ!AC26)</f>
        <v>5</v>
      </c>
      <c r="G26" s="3">
        <f>SUM(JAN:DEZ!AD26)</f>
        <v>3</v>
      </c>
      <c r="H26" s="3">
        <f>SUM(JAN:DEZ!AE26)</f>
        <v>8</v>
      </c>
      <c r="I26" s="3">
        <f>SUM(JAN:DEZ!AF26)</f>
        <v>0</v>
      </c>
      <c r="J26" s="10">
        <f>IFERROR(AVERAGE(JAN:DEZ!AG26),"-")</f>
        <v>5.8000000000000007</v>
      </c>
      <c r="K26" s="72">
        <f>COUNTIF(F$5:$F26,F26)</f>
        <v>2</v>
      </c>
      <c r="L26" s="40" t="str">
        <f t="shared" si="14"/>
        <v>52</v>
      </c>
      <c r="M26" s="40">
        <f>COUNTIF(G$5:$G26,G26)</f>
        <v>2</v>
      </c>
      <c r="N26" s="40" t="str">
        <f t="shared" si="15"/>
        <v>32</v>
      </c>
      <c r="O26" s="40">
        <f>COUNTIF(E$5:$E26,E26)</f>
        <v>3</v>
      </c>
      <c r="P26" s="130" t="str">
        <f t="shared" si="16"/>
        <v>0,1111111111111113</v>
      </c>
      <c r="Q26" s="130">
        <f>COUNTIF(H$5:$H26,H26)</f>
        <v>1</v>
      </c>
      <c r="R26" s="130" t="str">
        <f t="shared" si="17"/>
        <v>81</v>
      </c>
      <c r="S26" s="130">
        <f>COUNTIF(I$5:$I26,I26)</f>
        <v>3</v>
      </c>
      <c r="T26" s="84" t="str">
        <f t="shared" si="18"/>
        <v>03</v>
      </c>
      <c r="V26"/>
      <c r="W26"/>
      <c r="X26"/>
      <c r="Y26"/>
      <c r="Z26"/>
      <c r="AA26"/>
      <c r="AB26"/>
      <c r="AC26"/>
      <c r="AD26"/>
      <c r="AE26"/>
      <c r="AF26"/>
      <c r="AG26"/>
      <c r="AH26" s="49">
        <v>22</v>
      </c>
      <c r="AI26" s="30" t="str">
        <f t="shared" si="0"/>
        <v>Pierre Paulo</v>
      </c>
      <c r="AJ26" s="32">
        <f t="shared" si="1"/>
        <v>5.7146060606060605</v>
      </c>
      <c r="AK26" s="56"/>
      <c r="AL26" s="158">
        <v>22</v>
      </c>
      <c r="AM26" s="30" t="str">
        <f t="shared" si="2"/>
        <v>Allan Borela</v>
      </c>
      <c r="AN26" s="86">
        <f t="shared" si="3"/>
        <v>0.44444444444444442</v>
      </c>
      <c r="AO26" s="76">
        <f>COUNTIF(AN$5:$AN26,AN26)</f>
        <v>1</v>
      </c>
      <c r="AP26" s="76" t="str">
        <f t="shared" si="25"/>
        <v>0,4444444444444441</v>
      </c>
      <c r="AR26" s="54" t="str">
        <f t="shared" si="26"/>
        <v/>
      </c>
      <c r="AS26" s="55">
        <f t="shared" si="27"/>
        <v>5.8000000000000007</v>
      </c>
      <c r="AT26" s="54" t="str">
        <f t="shared" si="28"/>
        <v/>
      </c>
      <c r="AU26" s="54" t="str">
        <f t="shared" si="29"/>
        <v/>
      </c>
      <c r="AV26" s="54"/>
      <c r="AW26" s="54" t="str">
        <f t="shared" si="4"/>
        <v/>
      </c>
      <c r="AX26" s="54" t="str">
        <f t="shared" si="5"/>
        <v/>
      </c>
      <c r="AY26" s="54" t="str">
        <f t="shared" si="6"/>
        <v/>
      </c>
      <c r="AZ26" s="54" t="str">
        <f t="shared" si="7"/>
        <v/>
      </c>
      <c r="BC26" s="5" t="str">
        <f t="shared" si="8"/>
        <v/>
      </c>
      <c r="BE26" s="158">
        <v>22</v>
      </c>
      <c r="BF26" s="30" t="str">
        <f t="shared" si="9"/>
        <v>Allan Borela</v>
      </c>
      <c r="BG26" s="31">
        <f t="shared" si="10"/>
        <v>22</v>
      </c>
      <c r="BH26">
        <f>COUNTIF(BG$5:$BG26,BG26)</f>
        <v>1</v>
      </c>
      <c r="BI26" t="str">
        <f t="shared" si="30"/>
        <v>221</v>
      </c>
      <c r="BK26" s="158">
        <v>22</v>
      </c>
      <c r="BL26" s="30" t="str">
        <f t="shared" si="11"/>
        <v>Rafael Mendes</v>
      </c>
      <c r="BM26" s="31">
        <f t="shared" si="12"/>
        <v>7</v>
      </c>
      <c r="BN26">
        <f>COUNTIF(BM$5:$BM26,BM26)</f>
        <v>3</v>
      </c>
      <c r="BO26" t="str">
        <f t="shared" si="31"/>
        <v>73</v>
      </c>
    </row>
    <row r="27" spans="2:67" ht="15.75" thickBot="1" x14ac:dyDescent="0.3">
      <c r="B27" s="21" t="str">
        <f>JAN!B27</f>
        <v>Leo Starling</v>
      </c>
      <c r="C27" s="105" t="s">
        <v>59</v>
      </c>
      <c r="D27" s="159">
        <f>SUM(JAN:DEZ!AB27)</f>
        <v>35</v>
      </c>
      <c r="E27" s="7">
        <f t="shared" si="13"/>
        <v>0.77777777777777779</v>
      </c>
      <c r="F27" s="3">
        <f>SUM(JAN:DEZ!AC27)</f>
        <v>46</v>
      </c>
      <c r="G27" s="3">
        <f>SUM(JAN:DEZ!AD27)</f>
        <v>41</v>
      </c>
      <c r="H27" s="3">
        <f>SUM(JAN:DEZ!AE27)</f>
        <v>87</v>
      </c>
      <c r="I27" s="3">
        <f>SUM(JAN:DEZ!AF27)</f>
        <v>12</v>
      </c>
      <c r="J27" s="10">
        <f>IFERROR(AVERAGE(JAN:DEZ!AG27),"-")</f>
        <v>5.5691969696969696</v>
      </c>
      <c r="K27" s="72">
        <f>COUNTIF(F$5:$F27,F27)</f>
        <v>1</v>
      </c>
      <c r="L27" s="40" t="str">
        <f t="shared" si="14"/>
        <v>461</v>
      </c>
      <c r="M27" s="40">
        <f>COUNTIF(G$5:$G27,G27)</f>
        <v>1</v>
      </c>
      <c r="N27" s="40" t="str">
        <f t="shared" si="15"/>
        <v>411</v>
      </c>
      <c r="O27" s="40">
        <f>COUNTIF(E$5:$E27,E27)</f>
        <v>1</v>
      </c>
      <c r="P27" s="130" t="str">
        <f t="shared" si="16"/>
        <v>0,7777777777777781</v>
      </c>
      <c r="Q27" s="130">
        <f>COUNTIF(H$5:$H27,H27)</f>
        <v>1</v>
      </c>
      <c r="R27" s="130" t="str">
        <f t="shared" si="17"/>
        <v>871</v>
      </c>
      <c r="S27" s="130">
        <f>COUNTIF(I$5:$I27,I27)</f>
        <v>1</v>
      </c>
      <c r="T27" s="84" t="str">
        <f t="shared" si="18"/>
        <v>121</v>
      </c>
      <c r="V27"/>
      <c r="W27" s="59">
        <f>COUNTIF(C5:C50,"GOL")</f>
        <v>6</v>
      </c>
      <c r="X27"/>
      <c r="Y27"/>
      <c r="Z27"/>
      <c r="AA27"/>
      <c r="AB27"/>
      <c r="AC27" s="59">
        <f>COUNTIF(C5:C50,"ZAG")</f>
        <v>17</v>
      </c>
      <c r="AD27"/>
      <c r="AE27"/>
      <c r="AF27"/>
      <c r="AG27"/>
      <c r="AH27" s="49">
        <v>23</v>
      </c>
      <c r="AI27" s="30" t="str">
        <f t="shared" si="0"/>
        <v>Rafael Mendes</v>
      </c>
      <c r="AJ27" s="32">
        <f t="shared" si="1"/>
        <v>5.7099047619047614</v>
      </c>
      <c r="AK27" s="56"/>
      <c r="AL27" s="158">
        <v>23</v>
      </c>
      <c r="AM27" s="30" t="str">
        <f t="shared" si="2"/>
        <v>Henrique Viza</v>
      </c>
      <c r="AN27" s="86">
        <f t="shared" si="3"/>
        <v>0.42222222222222222</v>
      </c>
      <c r="AO27" s="76">
        <f>COUNTIF(AN$5:$AN27,AN27)</f>
        <v>1</v>
      </c>
      <c r="AP27" s="76" t="str">
        <f t="shared" si="25"/>
        <v>0,4222222222222221</v>
      </c>
      <c r="AR27" s="54" t="str">
        <f t="shared" si="26"/>
        <v/>
      </c>
      <c r="AS27" s="55" t="str">
        <f t="shared" si="27"/>
        <v/>
      </c>
      <c r="AT27" s="54">
        <f t="shared" si="28"/>
        <v>5.5691969696969696</v>
      </c>
      <c r="AU27" s="54" t="str">
        <f t="shared" si="29"/>
        <v/>
      </c>
      <c r="AV27" s="54"/>
      <c r="AW27" s="54" t="str">
        <f t="shared" si="4"/>
        <v/>
      </c>
      <c r="AX27" s="54" t="str">
        <f t="shared" si="5"/>
        <v/>
      </c>
      <c r="AY27" s="54">
        <f t="shared" si="6"/>
        <v>5.5691969696969696</v>
      </c>
      <c r="AZ27" s="54" t="str">
        <f t="shared" si="7"/>
        <v/>
      </c>
      <c r="BC27" s="5">
        <f t="shared" si="8"/>
        <v>5.5691969696969696</v>
      </c>
      <c r="BE27" s="158">
        <v>23</v>
      </c>
      <c r="BF27" s="30" t="str">
        <f t="shared" si="9"/>
        <v>David Melo</v>
      </c>
      <c r="BG27" s="31">
        <f t="shared" si="10"/>
        <v>22</v>
      </c>
      <c r="BH27">
        <f>COUNTIF(BG$5:$BG27,BG27)</f>
        <v>2</v>
      </c>
      <c r="BI27" t="str">
        <f t="shared" si="30"/>
        <v>222</v>
      </c>
      <c r="BK27" s="158">
        <v>23</v>
      </c>
      <c r="BL27" s="30" t="str">
        <f t="shared" si="11"/>
        <v>David Melo</v>
      </c>
      <c r="BM27" s="31">
        <f t="shared" si="12"/>
        <v>6</v>
      </c>
      <c r="BN27">
        <f>COUNTIF(BM$5:$BM27,BM27)</f>
        <v>1</v>
      </c>
      <c r="BO27" t="str">
        <f t="shared" si="31"/>
        <v>61</v>
      </c>
    </row>
    <row r="28" spans="2:67" x14ac:dyDescent="0.25">
      <c r="B28" s="21" t="str">
        <f>JAN!B28</f>
        <v>Lucas Bertolace</v>
      </c>
      <c r="C28" s="105" t="s">
        <v>61</v>
      </c>
      <c r="D28" s="159">
        <f>SUM(JAN:DEZ!AB28)</f>
        <v>3</v>
      </c>
      <c r="E28" s="7">
        <f t="shared" si="13"/>
        <v>6.6666666666666666E-2</v>
      </c>
      <c r="F28" s="3">
        <f>SUM(JAN:DEZ!AC28)</f>
        <v>1</v>
      </c>
      <c r="G28" s="3">
        <f>SUM(JAN:DEZ!AD28)</f>
        <v>0</v>
      </c>
      <c r="H28" s="3">
        <f>SUM(JAN:DEZ!AE28)</f>
        <v>1</v>
      </c>
      <c r="I28" s="3">
        <f>SUM(JAN:DEZ!AF28)</f>
        <v>1</v>
      </c>
      <c r="J28" s="10">
        <f>IFERROR(AVERAGE(JAN:DEZ!AG28),"-")</f>
        <v>6.1950000000000003</v>
      </c>
      <c r="K28" s="72">
        <f>COUNTIF(F$5:$F28,F28)</f>
        <v>2</v>
      </c>
      <c r="L28" s="40" t="str">
        <f t="shared" si="14"/>
        <v>12</v>
      </c>
      <c r="M28" s="40">
        <f>COUNTIF(G$5:$G28,G28)</f>
        <v>4</v>
      </c>
      <c r="N28" s="40" t="str">
        <f t="shared" si="15"/>
        <v>04</v>
      </c>
      <c r="O28" s="40">
        <f>COUNTIF(E$5:$E28,E28)</f>
        <v>2</v>
      </c>
      <c r="P28" s="130" t="str">
        <f t="shared" si="16"/>
        <v>0,06666666666666672</v>
      </c>
      <c r="Q28" s="130">
        <f>COUNTIF(H$5:$H28,H28)</f>
        <v>2</v>
      </c>
      <c r="R28" s="130" t="str">
        <f t="shared" si="17"/>
        <v>12</v>
      </c>
      <c r="S28" s="130">
        <f>COUNTIF(I$5:$I28,I28)</f>
        <v>1</v>
      </c>
      <c r="T28" s="84" t="str">
        <f t="shared" si="18"/>
        <v>11</v>
      </c>
      <c r="W28" s="375" t="s">
        <v>62</v>
      </c>
      <c r="X28" s="364" t="s">
        <v>40</v>
      </c>
      <c r="Y28"/>
      <c r="Z28"/>
      <c r="AA28"/>
      <c r="AB28" s="39"/>
      <c r="AC28" s="359" t="s">
        <v>63</v>
      </c>
      <c r="AD28" s="364" t="s">
        <v>40</v>
      </c>
      <c r="AE28"/>
      <c r="AF28"/>
      <c r="AG28"/>
      <c r="AH28" s="49">
        <v>24</v>
      </c>
      <c r="AI28" s="30" t="str">
        <f t="shared" si="0"/>
        <v>Jeferson Neves</v>
      </c>
      <c r="AJ28" s="32">
        <f t="shared" si="1"/>
        <v>5.68</v>
      </c>
      <c r="AK28" s="56"/>
      <c r="AL28" s="158">
        <v>24</v>
      </c>
      <c r="AM28" s="30" t="str">
        <f t="shared" si="2"/>
        <v>Felipe Horsts</v>
      </c>
      <c r="AN28" s="86">
        <f t="shared" si="3"/>
        <v>0.4</v>
      </c>
      <c r="AO28" s="76">
        <f>COUNTIF(AN$5:$AN28,AN28)</f>
        <v>1</v>
      </c>
      <c r="AP28" s="76" t="str">
        <f t="shared" si="25"/>
        <v>0,41</v>
      </c>
      <c r="AR28" s="54" t="str">
        <f t="shared" si="26"/>
        <v/>
      </c>
      <c r="AS28" s="55">
        <f t="shared" si="27"/>
        <v>6.1950000000000003</v>
      </c>
      <c r="AT28" s="54" t="str">
        <f t="shared" si="28"/>
        <v/>
      </c>
      <c r="AU28" s="54" t="str">
        <f t="shared" si="29"/>
        <v/>
      </c>
      <c r="AV28" s="54"/>
      <c r="AW28" s="54" t="str">
        <f t="shared" si="4"/>
        <v/>
      </c>
      <c r="AX28" s="54" t="str">
        <f t="shared" si="5"/>
        <v/>
      </c>
      <c r="AY28" s="54" t="str">
        <f t="shared" si="6"/>
        <v/>
      </c>
      <c r="AZ28" s="54" t="str">
        <f t="shared" si="7"/>
        <v/>
      </c>
      <c r="BC28" s="5" t="str">
        <f t="shared" si="8"/>
        <v/>
      </c>
      <c r="BE28" s="158">
        <v>24</v>
      </c>
      <c r="BF28" s="30" t="str">
        <f t="shared" si="9"/>
        <v>Marco Antonio</v>
      </c>
      <c r="BG28" s="31">
        <f t="shared" si="10"/>
        <v>17</v>
      </c>
      <c r="BH28">
        <f>COUNTIF(BG$5:$BG28,BG28)</f>
        <v>1</v>
      </c>
      <c r="BI28" t="str">
        <f t="shared" si="30"/>
        <v>171</v>
      </c>
      <c r="BK28" s="158">
        <v>24</v>
      </c>
      <c r="BL28" s="30" t="str">
        <f t="shared" si="11"/>
        <v>Henrique Viza</v>
      </c>
      <c r="BM28" s="31">
        <f t="shared" si="12"/>
        <v>5</v>
      </c>
      <c r="BN28">
        <f>COUNTIF(BM$5:$BM28,BM28)</f>
        <v>1</v>
      </c>
      <c r="BO28" t="str">
        <f t="shared" si="31"/>
        <v>51</v>
      </c>
    </row>
    <row r="29" spans="2:67" ht="15.75" thickBot="1" x14ac:dyDescent="0.3">
      <c r="B29" s="21" t="str">
        <f>JAN!B29</f>
        <v>Lucas Borela</v>
      </c>
      <c r="C29" s="105" t="s">
        <v>61</v>
      </c>
      <c r="D29" s="159">
        <f>SUM(JAN:DEZ!AB29)</f>
        <v>3</v>
      </c>
      <c r="E29" s="7">
        <f t="shared" si="13"/>
        <v>6.6666666666666666E-2</v>
      </c>
      <c r="F29" s="3">
        <f>SUM(JAN:DEZ!AC29)</f>
        <v>0</v>
      </c>
      <c r="G29" s="3">
        <f>SUM(JAN:DEZ!AD29)</f>
        <v>3</v>
      </c>
      <c r="H29" s="3">
        <f>SUM(JAN:DEZ!AE29)</f>
        <v>3</v>
      </c>
      <c r="I29" s="3">
        <f>SUM(JAN:DEZ!AF29)</f>
        <v>1</v>
      </c>
      <c r="J29" s="10">
        <f>IFERROR(AVERAGE(JAN:DEZ!AG29),"-")</f>
        <v>4.1866666666666665</v>
      </c>
      <c r="K29" s="72">
        <f>COUNTIF(F$5:$F29,F29)</f>
        <v>7</v>
      </c>
      <c r="L29" s="40" t="str">
        <f t="shared" si="14"/>
        <v>07</v>
      </c>
      <c r="M29" s="40">
        <f>COUNTIF(G$5:$G29,G29)</f>
        <v>3</v>
      </c>
      <c r="N29" s="40" t="str">
        <f t="shared" si="15"/>
        <v>33</v>
      </c>
      <c r="O29" s="40">
        <f>COUNTIF(E$5:$E29,E29)</f>
        <v>3</v>
      </c>
      <c r="P29" s="130" t="str">
        <f t="shared" si="16"/>
        <v>0,06666666666666673</v>
      </c>
      <c r="Q29" s="130">
        <f>COUNTIF(H$5:$H29,H29)</f>
        <v>3</v>
      </c>
      <c r="R29" s="130" t="str">
        <f t="shared" si="17"/>
        <v>33</v>
      </c>
      <c r="S29" s="130">
        <f>COUNTIF(I$5:$I29,I29)</f>
        <v>2</v>
      </c>
      <c r="T29" s="84" t="str">
        <f t="shared" si="18"/>
        <v>12</v>
      </c>
      <c r="W29" s="376"/>
      <c r="X29" s="372"/>
      <c r="Y29"/>
      <c r="Z29"/>
      <c r="AA29"/>
      <c r="AB29" s="39"/>
      <c r="AC29" s="374"/>
      <c r="AD29" s="372"/>
      <c r="AE29"/>
      <c r="AF29"/>
      <c r="AG29"/>
      <c r="AH29" s="49">
        <v>25</v>
      </c>
      <c r="AI29" s="30" t="str">
        <f t="shared" si="0"/>
        <v>Lucas Gama - Passarim</v>
      </c>
      <c r="AJ29" s="32">
        <f t="shared" si="1"/>
        <v>5.631388888888889</v>
      </c>
      <c r="AK29" s="56"/>
      <c r="AL29" s="158">
        <v>25</v>
      </c>
      <c r="AM29" s="30" t="str">
        <f t="shared" si="2"/>
        <v>David Melo</v>
      </c>
      <c r="AN29" s="86">
        <f t="shared" si="3"/>
        <v>0.37777777777777777</v>
      </c>
      <c r="AO29" s="76">
        <f>COUNTIF(AN$5:$AN29,AN29)</f>
        <v>1</v>
      </c>
      <c r="AP29" s="76" t="str">
        <f t="shared" si="25"/>
        <v>0,3777777777777781</v>
      </c>
      <c r="AR29" s="54" t="str">
        <f t="shared" si="26"/>
        <v/>
      </c>
      <c r="AS29" s="55">
        <f t="shared" si="27"/>
        <v>4.1866666666666665</v>
      </c>
      <c r="AT29" s="54" t="str">
        <f t="shared" si="28"/>
        <v/>
      </c>
      <c r="AU29" s="54" t="str">
        <f t="shared" si="29"/>
        <v/>
      </c>
      <c r="AV29" s="54"/>
      <c r="AW29" s="54" t="str">
        <f t="shared" si="4"/>
        <v/>
      </c>
      <c r="AX29" s="54" t="str">
        <f t="shared" si="5"/>
        <v/>
      </c>
      <c r="AY29" s="54" t="str">
        <f t="shared" si="6"/>
        <v/>
      </c>
      <c r="AZ29" s="54" t="str">
        <f t="shared" si="7"/>
        <v/>
      </c>
      <c r="BC29" s="5" t="str">
        <f t="shared" si="8"/>
        <v/>
      </c>
      <c r="BE29" s="158">
        <v>25</v>
      </c>
      <c r="BF29" s="30" t="str">
        <f t="shared" si="9"/>
        <v>Leo Bitencourt</v>
      </c>
      <c r="BG29" s="31">
        <f t="shared" si="10"/>
        <v>16</v>
      </c>
      <c r="BH29">
        <f>COUNTIF(BG$5:$BG29,BG29)</f>
        <v>1</v>
      </c>
      <c r="BI29" t="str">
        <f t="shared" si="30"/>
        <v>161</v>
      </c>
      <c r="BK29" s="158">
        <v>25</v>
      </c>
      <c r="BL29" s="30" t="str">
        <f t="shared" si="11"/>
        <v>Pablo Brandão</v>
      </c>
      <c r="BM29" s="31">
        <f t="shared" si="12"/>
        <v>5</v>
      </c>
      <c r="BN29">
        <f>COUNTIF(BM$5:$BM29,BM29)</f>
        <v>2</v>
      </c>
      <c r="BO29" t="str">
        <f t="shared" si="31"/>
        <v>52</v>
      </c>
    </row>
    <row r="30" spans="2:67" x14ac:dyDescent="0.25">
      <c r="B30" s="21" t="str">
        <f>JAN!B30</f>
        <v>Lucas Gama - Passarim</v>
      </c>
      <c r="C30" s="105" t="s">
        <v>59</v>
      </c>
      <c r="D30" s="159">
        <f>SUM(JAN:DEZ!AB30)</f>
        <v>15</v>
      </c>
      <c r="E30" s="7">
        <f t="shared" si="13"/>
        <v>0.33333333333333331</v>
      </c>
      <c r="F30" s="3">
        <f>SUM(JAN:DEZ!AC30)</f>
        <v>35</v>
      </c>
      <c r="G30" s="3">
        <f>SUM(JAN:DEZ!AD30)</f>
        <v>10</v>
      </c>
      <c r="H30" s="3">
        <f>SUM(JAN:DEZ!AE30)</f>
        <v>45</v>
      </c>
      <c r="I30" s="3">
        <f>SUM(JAN:DEZ!AF30)</f>
        <v>4</v>
      </c>
      <c r="J30" s="10">
        <f>IFERROR(AVERAGE(JAN:DEZ!AG30),"-")</f>
        <v>5.631388888888889</v>
      </c>
      <c r="K30" s="72">
        <f>COUNTIF(F$5:$F30,F30)</f>
        <v>1</v>
      </c>
      <c r="L30" s="40" t="str">
        <f t="shared" si="14"/>
        <v>351</v>
      </c>
      <c r="M30" s="40">
        <f>COUNTIF(G$5:$G30,G30)</f>
        <v>2</v>
      </c>
      <c r="N30" s="40" t="str">
        <f t="shared" si="15"/>
        <v>102</v>
      </c>
      <c r="O30" s="40">
        <f>COUNTIF(E$5:$E30,E30)</f>
        <v>1</v>
      </c>
      <c r="P30" s="130" t="str">
        <f t="shared" si="16"/>
        <v>0,3333333333333331</v>
      </c>
      <c r="Q30" s="130">
        <f>COUNTIF(H$5:$H30,H30)</f>
        <v>1</v>
      </c>
      <c r="R30" s="130" t="str">
        <f t="shared" si="17"/>
        <v>451</v>
      </c>
      <c r="S30" s="130">
        <f>COUNTIF(I$5:$I30,I30)</f>
        <v>1</v>
      </c>
      <c r="T30" s="84" t="str">
        <f t="shared" si="18"/>
        <v>41</v>
      </c>
      <c r="V30" s="47">
        <v>1</v>
      </c>
      <c r="W30" s="101" t="str">
        <f>INDEX($B$5:$J$100,MATCH(X30,$J$5:$J$100,0),1)</f>
        <v>Guilherme Santos (GK)</v>
      </c>
      <c r="X30" s="116">
        <f>LARGE($AR$5:$AR$55,V30)</f>
        <v>6.3762121212121201</v>
      </c>
      <c r="Y30"/>
      <c r="Z30"/>
      <c r="AA30"/>
      <c r="AB30" s="47">
        <v>1</v>
      </c>
      <c r="AC30" s="101" t="str">
        <f>INDEX($B$5:$J$510,MATCH(AD30,$J$5:$J$100,0),1)</f>
        <v>Gabriel Cosendey</v>
      </c>
      <c r="AD30" s="116">
        <f t="shared" ref="AD30:AD39" si="32">LARGE($AS$5:$AS$55,AB30)</f>
        <v>6.2420833333333334</v>
      </c>
      <c r="AE30"/>
      <c r="AF30"/>
      <c r="AG30"/>
      <c r="AH30" s="49">
        <v>26</v>
      </c>
      <c r="AI30" s="30" t="str">
        <f t="shared" si="0"/>
        <v>Marco Antonio</v>
      </c>
      <c r="AJ30" s="32">
        <f t="shared" si="1"/>
        <v>5.6049999999999995</v>
      </c>
      <c r="AK30" s="56"/>
      <c r="AL30" s="158">
        <v>26</v>
      </c>
      <c r="AM30" s="30" t="str">
        <f t="shared" si="2"/>
        <v>Lucas Gama - Passarim</v>
      </c>
      <c r="AN30" s="86">
        <f t="shared" si="3"/>
        <v>0.33333333333333331</v>
      </c>
      <c r="AO30" s="76">
        <f>COUNTIF(AN$5:$AN30,AN30)</f>
        <v>1</v>
      </c>
      <c r="AP30" s="76" t="str">
        <f t="shared" si="25"/>
        <v>0,3333333333333331</v>
      </c>
      <c r="AR30" s="54" t="str">
        <f t="shared" si="26"/>
        <v/>
      </c>
      <c r="AS30" s="55" t="str">
        <f t="shared" si="27"/>
        <v/>
      </c>
      <c r="AT30" s="54">
        <f t="shared" si="28"/>
        <v>5.631388888888889</v>
      </c>
      <c r="AU30" s="54" t="str">
        <f t="shared" si="29"/>
        <v/>
      </c>
      <c r="AV30" s="54"/>
      <c r="AW30" s="54" t="str">
        <f t="shared" si="4"/>
        <v/>
      </c>
      <c r="AX30" s="54" t="str">
        <f t="shared" si="5"/>
        <v/>
      </c>
      <c r="AY30" s="54">
        <f t="shared" si="6"/>
        <v>5.631388888888889</v>
      </c>
      <c r="AZ30" s="54" t="str">
        <f t="shared" si="7"/>
        <v/>
      </c>
      <c r="BC30" s="5">
        <f t="shared" si="8"/>
        <v>5.631388888888889</v>
      </c>
      <c r="BE30" s="158">
        <v>26</v>
      </c>
      <c r="BF30" s="30" t="str">
        <f t="shared" si="9"/>
        <v>Pablo Brandão</v>
      </c>
      <c r="BG30" s="31">
        <f t="shared" si="10"/>
        <v>13</v>
      </c>
      <c r="BH30">
        <f>COUNTIF(BG$5:$BG30,BG30)</f>
        <v>1</v>
      </c>
      <c r="BI30" t="str">
        <f t="shared" si="30"/>
        <v>131</v>
      </c>
      <c r="BK30" s="158">
        <v>26</v>
      </c>
      <c r="BL30" s="30" t="str">
        <f t="shared" si="11"/>
        <v>Ricardo Marchesini (GK)</v>
      </c>
      <c r="BM30" s="31">
        <f t="shared" si="12"/>
        <v>5</v>
      </c>
      <c r="BN30">
        <f>COUNTIF(BM$5:$BM30,BM30)</f>
        <v>3</v>
      </c>
      <c r="BO30" t="str">
        <f t="shared" si="31"/>
        <v>53</v>
      </c>
    </row>
    <row r="31" spans="2:67" x14ac:dyDescent="0.25">
      <c r="B31" s="21" t="str">
        <f>JAN!B31</f>
        <v>Lucas Leite - Coxinha</v>
      </c>
      <c r="C31" s="105" t="s">
        <v>59</v>
      </c>
      <c r="D31" s="159">
        <f>SUM(JAN:DEZ!AB31)</f>
        <v>30</v>
      </c>
      <c r="E31" s="7">
        <f t="shared" si="13"/>
        <v>0.66666666666666663</v>
      </c>
      <c r="F31" s="3">
        <f>SUM(JAN:DEZ!AC31)</f>
        <v>51</v>
      </c>
      <c r="G31" s="3">
        <f>SUM(JAN:DEZ!AD31)</f>
        <v>39</v>
      </c>
      <c r="H31" s="3">
        <f>SUM(JAN:DEZ!AE31)</f>
        <v>90</v>
      </c>
      <c r="I31" s="3">
        <f>SUM(JAN:DEZ!AF31)</f>
        <v>10</v>
      </c>
      <c r="J31" s="10">
        <f>IFERROR(AVERAGE(JAN:DEZ!AG31),"-")</f>
        <v>5.8870909090909098</v>
      </c>
      <c r="K31" s="72">
        <f>COUNTIF(F$5:$F31,F31)</f>
        <v>1</v>
      </c>
      <c r="L31" s="40" t="str">
        <f t="shared" si="14"/>
        <v>511</v>
      </c>
      <c r="M31" s="40">
        <f>COUNTIF(G$5:$G31,G31)</f>
        <v>1</v>
      </c>
      <c r="N31" s="40" t="str">
        <f t="shared" si="15"/>
        <v>391</v>
      </c>
      <c r="O31" s="40">
        <f>COUNTIF(E$5:$E31,E31)</f>
        <v>1</v>
      </c>
      <c r="P31" s="130" t="str">
        <f t="shared" si="16"/>
        <v>0,6666666666666671</v>
      </c>
      <c r="Q31" s="130">
        <f>COUNTIF(H$5:$H31,H31)</f>
        <v>1</v>
      </c>
      <c r="R31" s="130" t="str">
        <f t="shared" si="17"/>
        <v>901</v>
      </c>
      <c r="S31" s="130">
        <f>COUNTIF(I$5:$I31,I31)</f>
        <v>2</v>
      </c>
      <c r="T31" s="84" t="str">
        <f t="shared" si="18"/>
        <v>102</v>
      </c>
      <c r="V31" s="170">
        <v>2</v>
      </c>
      <c r="W31" s="172" t="str">
        <f t="shared" ref="W31:W35" si="33">INDEX($B$5:$J$100,MATCH(X31,$J$5:$J$100,0),1)</f>
        <v>Breno (GK)</v>
      </c>
      <c r="X31" s="173">
        <f t="shared" ref="X31:X35" si="34">LARGE($AR$5:$AR$50,V31)</f>
        <v>6.1183333333333332</v>
      </c>
      <c r="Y31"/>
      <c r="Z31"/>
      <c r="AA31"/>
      <c r="AB31" s="170">
        <v>2</v>
      </c>
      <c r="AC31" s="172" t="str">
        <f t="shared" ref="AC31:AC39" si="35">INDEX($B$5:$J$510,MATCH(AD31,$J$5:$J$100,0),1)</f>
        <v>Lucas Bertolace</v>
      </c>
      <c r="AD31" s="173">
        <f t="shared" si="32"/>
        <v>6.1950000000000003</v>
      </c>
      <c r="AE31"/>
      <c r="AF31"/>
      <c r="AG31"/>
      <c r="AH31" s="49">
        <v>27</v>
      </c>
      <c r="AI31" s="30" t="str">
        <f t="shared" si="0"/>
        <v>Leo Starling</v>
      </c>
      <c r="AJ31" s="32">
        <f t="shared" si="1"/>
        <v>5.5691969696969696</v>
      </c>
      <c r="AK31" s="56"/>
      <c r="AL31" s="158">
        <v>27</v>
      </c>
      <c r="AM31" s="30" t="str">
        <f>INDEX($B$5:$P$68,MATCH(AP31,$P$5:$P$68,0),1)</f>
        <v>Ricardo Marchesini (GK)</v>
      </c>
      <c r="AN31" s="86">
        <f t="shared" si="3"/>
        <v>0.33333333333333331</v>
      </c>
      <c r="AO31" s="76">
        <f>COUNTIF(AN$5:$AN31,AN31)</f>
        <v>2</v>
      </c>
      <c r="AP31" s="76" t="str">
        <f t="shared" si="25"/>
        <v>0,3333333333333332</v>
      </c>
      <c r="AR31" s="54" t="str">
        <f t="shared" si="26"/>
        <v/>
      </c>
      <c r="AS31" s="55" t="str">
        <f t="shared" si="27"/>
        <v/>
      </c>
      <c r="AT31" s="54">
        <f t="shared" si="28"/>
        <v>5.8870909090909098</v>
      </c>
      <c r="AU31" s="54" t="str">
        <f t="shared" si="29"/>
        <v/>
      </c>
      <c r="AV31" s="54"/>
      <c r="AW31" s="54" t="str">
        <f t="shared" si="4"/>
        <v/>
      </c>
      <c r="AX31" s="54" t="str">
        <f t="shared" si="5"/>
        <v/>
      </c>
      <c r="AY31" s="54">
        <f t="shared" si="6"/>
        <v>5.8870909090909098</v>
      </c>
      <c r="AZ31" s="54" t="str">
        <f t="shared" si="7"/>
        <v/>
      </c>
      <c r="BC31" s="5">
        <f t="shared" si="8"/>
        <v>5.8870909090909098</v>
      </c>
      <c r="BE31" s="158">
        <v>27</v>
      </c>
      <c r="BF31" s="30" t="str">
        <f t="shared" si="9"/>
        <v>Gabriel Cosendey</v>
      </c>
      <c r="BG31" s="31">
        <f t="shared" si="10"/>
        <v>9</v>
      </c>
      <c r="BH31">
        <f>COUNTIF(BG$5:$BG31,BG31)</f>
        <v>1</v>
      </c>
      <c r="BI31" t="str">
        <f t="shared" si="30"/>
        <v>91</v>
      </c>
      <c r="BK31" s="158">
        <v>27</v>
      </c>
      <c r="BL31" s="30" t="str">
        <f t="shared" si="11"/>
        <v>Lucas Gama - Passarim</v>
      </c>
      <c r="BM31" s="31">
        <f t="shared" si="12"/>
        <v>4</v>
      </c>
      <c r="BN31">
        <f>COUNTIF(BM$5:$BM31,BM31)</f>
        <v>1</v>
      </c>
      <c r="BO31" t="str">
        <f t="shared" si="31"/>
        <v>41</v>
      </c>
    </row>
    <row r="32" spans="2:67" x14ac:dyDescent="0.25">
      <c r="B32" s="21" t="str">
        <f>JAN!B32</f>
        <v>Luis do Corte</v>
      </c>
      <c r="C32" s="105" t="s">
        <v>60</v>
      </c>
      <c r="D32" s="159">
        <f>SUM(JAN:DEZ!AB32)</f>
        <v>0</v>
      </c>
      <c r="E32" s="7">
        <f t="shared" si="13"/>
        <v>0</v>
      </c>
      <c r="F32" s="3">
        <f>SUM(JAN:DEZ!AC32)</f>
        <v>0</v>
      </c>
      <c r="G32" s="3">
        <f>SUM(JAN:DEZ!AD32)</f>
        <v>0</v>
      </c>
      <c r="H32" s="3">
        <f>SUM(JAN:DEZ!AE32)</f>
        <v>0</v>
      </c>
      <c r="I32" s="3">
        <f>SUM(JAN:DEZ!AF32)</f>
        <v>0</v>
      </c>
      <c r="J32" s="10" t="str">
        <f>IFERROR(AVERAGE(JAN:DEZ!AG32),"-")</f>
        <v>-</v>
      </c>
      <c r="K32" s="72">
        <f>COUNTIF(F$5:$F32,F32)</f>
        <v>8</v>
      </c>
      <c r="L32" s="40" t="str">
        <f t="shared" si="14"/>
        <v>08</v>
      </c>
      <c r="M32" s="40">
        <f>COUNTIF(G$5:$G32,G32)</f>
        <v>5</v>
      </c>
      <c r="N32" s="40" t="str">
        <f t="shared" si="15"/>
        <v>05</v>
      </c>
      <c r="O32" s="40">
        <f>COUNTIF(E$5:$E32,E32)</f>
        <v>1</v>
      </c>
      <c r="P32" s="130" t="str">
        <f t="shared" si="16"/>
        <v>01</v>
      </c>
      <c r="Q32" s="130">
        <f>COUNTIF(H$5:$H32,H32)</f>
        <v>4</v>
      </c>
      <c r="R32" s="130" t="str">
        <f t="shared" si="17"/>
        <v>04</v>
      </c>
      <c r="S32" s="130">
        <f>COUNTIF(I$5:$I32,I32)</f>
        <v>4</v>
      </c>
      <c r="T32" s="84" t="str">
        <f t="shared" si="18"/>
        <v>04</v>
      </c>
      <c r="U32" s="57"/>
      <c r="V32" s="175">
        <v>3</v>
      </c>
      <c r="W32" s="179" t="str">
        <f t="shared" si="33"/>
        <v>Douglas DG (GK)</v>
      </c>
      <c r="X32" s="182">
        <f t="shared" si="34"/>
        <v>6.0192592592592611</v>
      </c>
      <c r="Y32"/>
      <c r="Z32"/>
      <c r="AA32"/>
      <c r="AB32" s="175">
        <v>3</v>
      </c>
      <c r="AC32" s="179" t="str">
        <f t="shared" si="35"/>
        <v>David Melo</v>
      </c>
      <c r="AD32" s="182">
        <f t="shared" si="32"/>
        <v>5.8070370370370377</v>
      </c>
      <c r="AE32"/>
      <c r="AF32"/>
      <c r="AG32"/>
      <c r="AH32" s="49">
        <v>28</v>
      </c>
      <c r="AI32" s="30" t="str">
        <f t="shared" si="0"/>
        <v>Wellington Leite</v>
      </c>
      <c r="AJ32" s="32">
        <f t="shared" si="1"/>
        <v>5.52</v>
      </c>
      <c r="AK32" s="56"/>
      <c r="AL32" s="158">
        <v>28</v>
      </c>
      <c r="AM32" s="30" t="str">
        <f t="shared" si="2"/>
        <v>Raphael Ambrosio</v>
      </c>
      <c r="AN32" s="86">
        <f t="shared" si="3"/>
        <v>0.28888888888888886</v>
      </c>
      <c r="AO32" s="76">
        <f>COUNTIF(AN$5:$AN32,AN32)</f>
        <v>1</v>
      </c>
      <c r="AP32" s="76" t="str">
        <f t="shared" si="25"/>
        <v>0,2888888888888891</v>
      </c>
      <c r="AR32" s="54" t="str">
        <f t="shared" si="26"/>
        <v/>
      </c>
      <c r="AS32" s="55" t="str">
        <f t="shared" si="27"/>
        <v/>
      </c>
      <c r="AT32" s="54" t="str">
        <f t="shared" si="28"/>
        <v/>
      </c>
      <c r="AU32" s="54" t="str">
        <f t="shared" si="29"/>
        <v>-</v>
      </c>
      <c r="AV32" s="54"/>
      <c r="AW32" s="54" t="str">
        <f t="shared" si="4"/>
        <v/>
      </c>
      <c r="AX32" s="54" t="str">
        <f t="shared" si="5"/>
        <v/>
      </c>
      <c r="AY32" s="54" t="str">
        <f t="shared" si="6"/>
        <v/>
      </c>
      <c r="AZ32" s="54" t="str">
        <f t="shared" si="7"/>
        <v/>
      </c>
      <c r="BC32" s="5" t="str">
        <f t="shared" si="8"/>
        <v/>
      </c>
      <c r="BE32" s="158">
        <v>28</v>
      </c>
      <c r="BF32" s="30" t="str">
        <f t="shared" si="9"/>
        <v>Leo Hubner</v>
      </c>
      <c r="BG32" s="31">
        <f t="shared" si="10"/>
        <v>8</v>
      </c>
      <c r="BH32">
        <f>COUNTIF(BG$5:$BG32,BG32)</f>
        <v>1</v>
      </c>
      <c r="BI32" t="str">
        <f t="shared" si="30"/>
        <v>81</v>
      </c>
      <c r="BK32" s="158">
        <v>28</v>
      </c>
      <c r="BL32" s="30" t="str">
        <f t="shared" si="11"/>
        <v>Marcelo Castro</v>
      </c>
      <c r="BM32" s="31">
        <f t="shared" si="12"/>
        <v>4</v>
      </c>
      <c r="BN32">
        <f>COUNTIF(BM$5:$BM32,BM32)</f>
        <v>2</v>
      </c>
      <c r="BO32" t="str">
        <f t="shared" si="31"/>
        <v>42</v>
      </c>
    </row>
    <row r="33" spans="2:67" x14ac:dyDescent="0.25">
      <c r="B33" s="21" t="str">
        <f>JAN!B33</f>
        <v>Marcelo Castro</v>
      </c>
      <c r="C33" s="105" t="s">
        <v>59</v>
      </c>
      <c r="D33" s="159">
        <f>SUM(JAN:DEZ!AB33)</f>
        <v>10</v>
      </c>
      <c r="E33" s="7">
        <f t="shared" si="13"/>
        <v>0.22222222222222221</v>
      </c>
      <c r="F33" s="3">
        <f>SUM(JAN:DEZ!AC33)</f>
        <v>19</v>
      </c>
      <c r="G33" s="3">
        <f>SUM(JAN:DEZ!AD33)</f>
        <v>8</v>
      </c>
      <c r="H33" s="3">
        <f>SUM(JAN:DEZ!AE33)</f>
        <v>27</v>
      </c>
      <c r="I33" s="3">
        <f>SUM(JAN:DEZ!AF33)</f>
        <v>4</v>
      </c>
      <c r="J33" s="10">
        <f>IFERROR(AVERAGE(JAN:DEZ!AG33),"-")</f>
        <v>6.5958333333333332</v>
      </c>
      <c r="K33" s="72">
        <f>COUNTIF(F$5:$F33,F33)</f>
        <v>2</v>
      </c>
      <c r="L33" s="40" t="str">
        <f t="shared" si="14"/>
        <v>192</v>
      </c>
      <c r="M33" s="40">
        <f>COUNTIF(G$5:$G33,G33)</f>
        <v>3</v>
      </c>
      <c r="N33" s="40" t="str">
        <f t="shared" si="15"/>
        <v>83</v>
      </c>
      <c r="O33" s="40">
        <f>COUNTIF(E$5:$E33,E33)</f>
        <v>1</v>
      </c>
      <c r="P33" s="130" t="str">
        <f t="shared" si="16"/>
        <v>0,2222222222222221</v>
      </c>
      <c r="Q33" s="130">
        <f>COUNTIF(H$5:$H33,H33)</f>
        <v>1</v>
      </c>
      <c r="R33" s="130" t="str">
        <f t="shared" si="17"/>
        <v>271</v>
      </c>
      <c r="S33" s="130">
        <f>COUNTIF(I$5:$I33,I33)</f>
        <v>2</v>
      </c>
      <c r="T33" s="84" t="str">
        <f t="shared" si="18"/>
        <v>42</v>
      </c>
      <c r="U33" s="57"/>
      <c r="V33" s="49">
        <v>4</v>
      </c>
      <c r="W33" s="30" t="str">
        <f t="shared" si="33"/>
        <v>Ricardo Marchesini (GK)</v>
      </c>
      <c r="X33" s="32">
        <f t="shared" si="34"/>
        <v>5.8375000000000004</v>
      </c>
      <c r="Y33"/>
      <c r="Z33"/>
      <c r="AA33"/>
      <c r="AB33" s="49">
        <v>4</v>
      </c>
      <c r="AC33" s="30" t="str">
        <f t="shared" si="35"/>
        <v>Leo Hubner</v>
      </c>
      <c r="AD33" s="32">
        <f t="shared" si="32"/>
        <v>5.8000000000000007</v>
      </c>
      <c r="AE33"/>
      <c r="AF33"/>
      <c r="AG33"/>
      <c r="AH33" s="49">
        <v>29</v>
      </c>
      <c r="AI33" s="30" t="str">
        <f t="shared" si="0"/>
        <v>Salomão Charbel</v>
      </c>
      <c r="AJ33" s="32">
        <f t="shared" si="1"/>
        <v>5.5033333333333339</v>
      </c>
      <c r="AK33" s="56"/>
      <c r="AL33" s="158">
        <v>29</v>
      </c>
      <c r="AM33" s="30" t="str">
        <f t="shared" si="2"/>
        <v>Gabriel Cosendey</v>
      </c>
      <c r="AN33" s="86">
        <f t="shared" si="3"/>
        <v>0.26666666666666666</v>
      </c>
      <c r="AO33" s="76">
        <f>COUNTIF(AN$5:$AN33,AN33)</f>
        <v>1</v>
      </c>
      <c r="AP33" s="76" t="str">
        <f t="shared" si="25"/>
        <v>0,2666666666666671</v>
      </c>
      <c r="AR33" s="54" t="str">
        <f t="shared" si="26"/>
        <v/>
      </c>
      <c r="AS33" s="55" t="str">
        <f t="shared" si="27"/>
        <v/>
      </c>
      <c r="AT33" s="54">
        <f t="shared" si="28"/>
        <v>6.5958333333333332</v>
      </c>
      <c r="AU33" s="54" t="str">
        <f t="shared" si="29"/>
        <v/>
      </c>
      <c r="AV33" s="54"/>
      <c r="AW33" s="54" t="str">
        <f t="shared" si="4"/>
        <v/>
      </c>
      <c r="AX33" s="54" t="str">
        <f t="shared" si="5"/>
        <v/>
      </c>
      <c r="AY33" s="54" t="str">
        <f t="shared" si="6"/>
        <v/>
      </c>
      <c r="AZ33" s="54" t="str">
        <f t="shared" si="7"/>
        <v/>
      </c>
      <c r="BC33" s="5" t="str">
        <f t="shared" si="8"/>
        <v/>
      </c>
      <c r="BE33" s="158">
        <v>29</v>
      </c>
      <c r="BF33" s="30" t="str">
        <f t="shared" si="9"/>
        <v>Pedro Chequer</v>
      </c>
      <c r="BG33" s="31">
        <f t="shared" si="10"/>
        <v>8</v>
      </c>
      <c r="BH33">
        <f>COUNTIF(BG$5:$BG33,BG33)</f>
        <v>2</v>
      </c>
      <c r="BI33" t="str">
        <f t="shared" si="30"/>
        <v>82</v>
      </c>
      <c r="BK33" s="158">
        <v>29</v>
      </c>
      <c r="BL33" s="30" t="str">
        <f t="shared" si="11"/>
        <v>Breno (GK)</v>
      </c>
      <c r="BM33" s="31">
        <f t="shared" si="12"/>
        <v>3</v>
      </c>
      <c r="BN33">
        <f>COUNTIF(BM$5:$BM33,BM33)</f>
        <v>1</v>
      </c>
      <c r="BO33" t="str">
        <f t="shared" si="31"/>
        <v>31</v>
      </c>
    </row>
    <row r="34" spans="2:67" x14ac:dyDescent="0.25">
      <c r="B34" s="21" t="str">
        <f>JAN!B34</f>
        <v>Marco Antonio</v>
      </c>
      <c r="C34" s="105" t="s">
        <v>61</v>
      </c>
      <c r="D34" s="159">
        <f>SUM(JAN:DEZ!AB34)</f>
        <v>21</v>
      </c>
      <c r="E34" s="7">
        <f t="shared" si="13"/>
        <v>0.46666666666666667</v>
      </c>
      <c r="F34" s="3">
        <f>SUM(JAN:DEZ!AC34)</f>
        <v>9</v>
      </c>
      <c r="G34" s="3">
        <f>SUM(JAN:DEZ!AD34)</f>
        <v>8</v>
      </c>
      <c r="H34" s="3">
        <f>SUM(JAN:DEZ!AE34)</f>
        <v>17</v>
      </c>
      <c r="I34" s="3">
        <f>SUM(JAN:DEZ!AF34)</f>
        <v>7</v>
      </c>
      <c r="J34" s="10">
        <f>IFERROR(AVERAGE(JAN:DEZ!AG34),"-")</f>
        <v>5.6049999999999995</v>
      </c>
      <c r="K34" s="72">
        <f>COUNTIF(F$5:$F34,F34)</f>
        <v>1</v>
      </c>
      <c r="L34" s="40" t="str">
        <f t="shared" si="14"/>
        <v>91</v>
      </c>
      <c r="M34" s="40">
        <f>COUNTIF(G$5:$G34,G34)</f>
        <v>4</v>
      </c>
      <c r="N34" s="40" t="str">
        <f t="shared" si="15"/>
        <v>84</v>
      </c>
      <c r="O34" s="40">
        <f>COUNTIF(E$5:$E34,E34)</f>
        <v>2</v>
      </c>
      <c r="P34" s="130" t="str">
        <f t="shared" si="16"/>
        <v>0,4666666666666672</v>
      </c>
      <c r="Q34" s="130">
        <f>COUNTIF(H$5:$H34,H34)</f>
        <v>1</v>
      </c>
      <c r="R34" s="130" t="str">
        <f t="shared" si="17"/>
        <v>171</v>
      </c>
      <c r="S34" s="130">
        <f>COUNTIF(I$5:$I34,I34)</f>
        <v>1</v>
      </c>
      <c r="T34" s="84" t="str">
        <f t="shared" si="18"/>
        <v>71</v>
      </c>
      <c r="U34" s="57"/>
      <c r="V34" s="49">
        <v>5</v>
      </c>
      <c r="W34" s="30" t="str">
        <f t="shared" si="33"/>
        <v>Daniel Medeiros (GK)</v>
      </c>
      <c r="X34" s="32">
        <f t="shared" si="34"/>
        <v>5.7200000000000006</v>
      </c>
      <c r="Y34"/>
      <c r="Z34"/>
      <c r="AA34"/>
      <c r="AB34" s="49">
        <v>5</v>
      </c>
      <c r="AC34" s="30" t="str">
        <f t="shared" si="35"/>
        <v>Ruan Amorim</v>
      </c>
      <c r="AD34" s="32">
        <f t="shared" si="32"/>
        <v>5.7792727272727271</v>
      </c>
      <c r="AE34"/>
      <c r="AF34"/>
      <c r="AG34"/>
      <c r="AH34" s="49">
        <v>30</v>
      </c>
      <c r="AI34" s="30" t="str">
        <f t="shared" si="0"/>
        <v>Leo Bitencourt</v>
      </c>
      <c r="AJ34" s="32">
        <f t="shared" si="1"/>
        <v>5.4672222222222224</v>
      </c>
      <c r="AK34" s="56"/>
      <c r="AL34" s="158">
        <v>30</v>
      </c>
      <c r="AM34" s="30" t="str">
        <f t="shared" si="2"/>
        <v>Gustavo Bumbum (GK)</v>
      </c>
      <c r="AN34" s="86">
        <f t="shared" si="3"/>
        <v>0.26666666666666666</v>
      </c>
      <c r="AO34" s="76">
        <f>COUNTIF(AN$5:$AN34,AN34)</f>
        <v>2</v>
      </c>
      <c r="AP34" s="76" t="str">
        <f t="shared" si="25"/>
        <v>0,2666666666666672</v>
      </c>
      <c r="AR34" s="54" t="str">
        <f t="shared" si="26"/>
        <v/>
      </c>
      <c r="AS34" s="55">
        <f t="shared" si="27"/>
        <v>5.6049999999999995</v>
      </c>
      <c r="AT34" s="54" t="str">
        <f t="shared" si="28"/>
        <v/>
      </c>
      <c r="AU34" s="54" t="str">
        <f t="shared" si="29"/>
        <v/>
      </c>
      <c r="AV34" s="54"/>
      <c r="AW34" s="54" t="str">
        <f t="shared" si="4"/>
        <v/>
      </c>
      <c r="AX34" s="54">
        <f t="shared" si="5"/>
        <v>5.6049999999999995</v>
      </c>
      <c r="AY34" s="54" t="str">
        <f t="shared" si="6"/>
        <v/>
      </c>
      <c r="AZ34" s="54" t="str">
        <f t="shared" si="7"/>
        <v/>
      </c>
      <c r="BC34" s="5">
        <f t="shared" si="8"/>
        <v>5.6049999999999995</v>
      </c>
      <c r="BE34" s="158">
        <v>30</v>
      </c>
      <c r="BF34" s="30" t="str">
        <f t="shared" si="9"/>
        <v>Raphael Ambrosio</v>
      </c>
      <c r="BG34" s="31">
        <f t="shared" si="10"/>
        <v>7</v>
      </c>
      <c r="BH34">
        <f>COUNTIF(BG$5:$BG34,BG34)</f>
        <v>1</v>
      </c>
      <c r="BI34" t="str">
        <f t="shared" si="30"/>
        <v>71</v>
      </c>
      <c r="BK34" s="158">
        <v>30</v>
      </c>
      <c r="BL34" s="30" t="str">
        <f t="shared" si="11"/>
        <v>Daniel Medeiros (GK)</v>
      </c>
      <c r="BM34" s="31">
        <f t="shared" si="12"/>
        <v>3</v>
      </c>
      <c r="BN34">
        <f>COUNTIF(BM$5:$BM34,BM34)</f>
        <v>2</v>
      </c>
      <c r="BO34" t="str">
        <f t="shared" si="31"/>
        <v>32</v>
      </c>
    </row>
    <row r="35" spans="2:67" ht="15.75" thickBot="1" x14ac:dyDescent="0.3">
      <c r="B35" s="21" t="str">
        <f>JAN!B35</f>
        <v>Matheus Gomes</v>
      </c>
      <c r="C35" s="105" t="s">
        <v>60</v>
      </c>
      <c r="D35" s="159">
        <f>SUM(JAN:DEZ!AB35)</f>
        <v>36</v>
      </c>
      <c r="E35" s="7">
        <f t="shared" si="13"/>
        <v>0.8</v>
      </c>
      <c r="F35" s="3">
        <f>SUM(JAN:DEZ!AC35)</f>
        <v>69</v>
      </c>
      <c r="G35" s="3">
        <f>SUM(JAN:DEZ!AD35)</f>
        <v>41</v>
      </c>
      <c r="H35" s="3">
        <f>SUM(JAN:DEZ!AE35)</f>
        <v>110</v>
      </c>
      <c r="I35" s="3">
        <f>SUM(JAN:DEZ!AF35)</f>
        <v>9</v>
      </c>
      <c r="J35" s="10">
        <f>IFERROR(AVERAGE(JAN:DEZ!AG35),"-")</f>
        <v>5.8201212121212116</v>
      </c>
      <c r="K35" s="72">
        <f>COUNTIF(F$5:$F35,F35)</f>
        <v>1</v>
      </c>
      <c r="L35" s="40" t="str">
        <f t="shared" si="14"/>
        <v>691</v>
      </c>
      <c r="M35" s="40">
        <f>COUNTIF(G$5:$G35,G35)</f>
        <v>2</v>
      </c>
      <c r="N35" s="40" t="str">
        <f t="shared" si="15"/>
        <v>412</v>
      </c>
      <c r="O35" s="40">
        <f>COUNTIF(E$5:$E35,E35)</f>
        <v>1</v>
      </c>
      <c r="P35" s="130" t="str">
        <f t="shared" si="16"/>
        <v>0,81</v>
      </c>
      <c r="Q35" s="130">
        <f>COUNTIF(H$5:$H35,H35)</f>
        <v>1</v>
      </c>
      <c r="R35" s="130" t="str">
        <f t="shared" si="17"/>
        <v>1101</v>
      </c>
      <c r="S35" s="130">
        <f>COUNTIF(I$5:$I35,I35)</f>
        <v>4</v>
      </c>
      <c r="T35" s="84" t="str">
        <f t="shared" si="18"/>
        <v>94</v>
      </c>
      <c r="U35" s="57"/>
      <c r="V35" s="133">
        <v>6</v>
      </c>
      <c r="W35" s="34" t="str">
        <f t="shared" si="33"/>
        <v>Gustavo Bumbum (GK)</v>
      </c>
      <c r="X35" s="36">
        <f t="shared" si="34"/>
        <v>5.3735999999999997</v>
      </c>
      <c r="Y35" s="57"/>
      <c r="Z35" s="57"/>
      <c r="AA35" s="57"/>
      <c r="AB35" s="49">
        <v>6</v>
      </c>
      <c r="AC35" s="30" t="str">
        <f t="shared" si="35"/>
        <v>Pierre Paulo</v>
      </c>
      <c r="AD35" s="32">
        <f t="shared" si="32"/>
        <v>5.7146060606060605</v>
      </c>
      <c r="AE35"/>
      <c r="AF35"/>
      <c r="AG35"/>
      <c r="AH35" s="49">
        <v>31</v>
      </c>
      <c r="AI35" s="30" t="str">
        <f t="shared" si="0"/>
        <v>Pablo Brandão</v>
      </c>
      <c r="AJ35" s="32">
        <f t="shared" si="1"/>
        <v>5.4248095238095226</v>
      </c>
      <c r="AK35" s="56"/>
      <c r="AL35" s="158">
        <v>31</v>
      </c>
      <c r="AM35" s="30" t="str">
        <f t="shared" si="2"/>
        <v>Wanderson Santiago</v>
      </c>
      <c r="AN35" s="86">
        <f t="shared" si="3"/>
        <v>0.26666666666666666</v>
      </c>
      <c r="AO35" s="76">
        <f>COUNTIF(AN$5:$AN35,AN35)</f>
        <v>3</v>
      </c>
      <c r="AP35" s="76" t="str">
        <f t="shared" si="25"/>
        <v>0,2666666666666673</v>
      </c>
      <c r="AR35" s="54" t="str">
        <f t="shared" si="26"/>
        <v/>
      </c>
      <c r="AS35" s="55" t="str">
        <f t="shared" si="27"/>
        <v/>
      </c>
      <c r="AT35" s="54" t="str">
        <f t="shared" si="28"/>
        <v/>
      </c>
      <c r="AU35" s="54">
        <f t="shared" si="29"/>
        <v>5.8201212121212116</v>
      </c>
      <c r="AV35" s="54"/>
      <c r="AW35" s="54" t="str">
        <f t="shared" si="4"/>
        <v/>
      </c>
      <c r="AX35" s="54" t="str">
        <f t="shared" si="5"/>
        <v/>
      </c>
      <c r="AY35" s="54" t="str">
        <f t="shared" si="6"/>
        <v/>
      </c>
      <c r="AZ35" s="54">
        <f t="shared" si="7"/>
        <v>5.8201212121212116</v>
      </c>
      <c r="BC35" s="5">
        <f t="shared" si="8"/>
        <v>5.8201212121212116</v>
      </c>
      <c r="BE35" s="158">
        <v>31</v>
      </c>
      <c r="BF35" s="30" t="str">
        <f t="shared" si="9"/>
        <v>Gustavo Gomes</v>
      </c>
      <c r="BG35" s="31">
        <f t="shared" si="10"/>
        <v>5</v>
      </c>
      <c r="BH35">
        <f>COUNTIF(BG$5:$BG35,BG35)</f>
        <v>1</v>
      </c>
      <c r="BI35" t="str">
        <f t="shared" si="30"/>
        <v>51</v>
      </c>
      <c r="BK35" s="158">
        <v>31</v>
      </c>
      <c r="BL35" s="30" t="str">
        <f t="shared" si="11"/>
        <v>Gabriel Cosendey</v>
      </c>
      <c r="BM35" s="31">
        <f t="shared" si="12"/>
        <v>2</v>
      </c>
      <c r="BN35">
        <f>COUNTIF(BM$5:$BM35,BM35)</f>
        <v>1</v>
      </c>
      <c r="BO35" t="str">
        <f t="shared" si="31"/>
        <v>21</v>
      </c>
    </row>
    <row r="36" spans="2:67" x14ac:dyDescent="0.25">
      <c r="B36" s="21" t="str">
        <f>JAN!B36</f>
        <v>Meurin</v>
      </c>
      <c r="C36" s="105" t="s">
        <v>59</v>
      </c>
      <c r="D36" s="159">
        <f>SUM(JAN:DEZ!AB36)</f>
        <v>39</v>
      </c>
      <c r="E36" s="7">
        <f t="shared" si="13"/>
        <v>0.8666666666666667</v>
      </c>
      <c r="F36" s="3">
        <f>SUM(JAN:DEZ!AC36)</f>
        <v>26</v>
      </c>
      <c r="G36" s="3">
        <f>SUM(JAN:DEZ!AD36)</f>
        <v>67</v>
      </c>
      <c r="H36" s="3">
        <f>SUM(JAN:DEZ!AE36)</f>
        <v>93</v>
      </c>
      <c r="I36" s="3">
        <f>SUM(JAN:DEZ!AF36)</f>
        <v>11</v>
      </c>
      <c r="J36" s="10">
        <f>IFERROR(AVERAGE(JAN:DEZ!AG36),"-")</f>
        <v>5.3150333333333331</v>
      </c>
      <c r="K36" s="72">
        <f>COUNTIF(F$5:$F36,F36)</f>
        <v>1</v>
      </c>
      <c r="L36" s="40" t="str">
        <f t="shared" si="14"/>
        <v>261</v>
      </c>
      <c r="M36" s="40">
        <f>COUNTIF(G$5:$G36,G36)</f>
        <v>1</v>
      </c>
      <c r="N36" s="40" t="str">
        <f t="shared" si="15"/>
        <v>671</v>
      </c>
      <c r="O36" s="40">
        <f>COUNTIF(E$5:$E36,E36)</f>
        <v>1</v>
      </c>
      <c r="P36" s="130" t="str">
        <f t="shared" si="16"/>
        <v>0,8666666666666671</v>
      </c>
      <c r="Q36" s="130">
        <f>COUNTIF(H$5:$H36,H36)</f>
        <v>1</v>
      </c>
      <c r="R36" s="130" t="str">
        <f t="shared" si="17"/>
        <v>931</v>
      </c>
      <c r="S36" s="130">
        <f>COUNTIF(I$5:$I36,I36)</f>
        <v>1</v>
      </c>
      <c r="T36" s="84" t="str">
        <f t="shared" si="18"/>
        <v>111</v>
      </c>
      <c r="U36" s="57"/>
      <c r="V36" s="58"/>
      <c r="W36" s="132">
        <f>AVERAGE(J5,J33,J25,J34,J12,J23)</f>
        <v>6.0475453703703694</v>
      </c>
      <c r="X36" s="56"/>
      <c r="Y36" s="57"/>
      <c r="Z36" s="57"/>
      <c r="AA36" s="57"/>
      <c r="AB36" s="49">
        <v>7</v>
      </c>
      <c r="AC36" s="30" t="str">
        <f t="shared" si="35"/>
        <v>Jeferson Neves</v>
      </c>
      <c r="AD36" s="32">
        <f t="shared" si="32"/>
        <v>5.68</v>
      </c>
      <c r="AE36"/>
      <c r="AF36"/>
      <c r="AG36"/>
      <c r="AH36" s="49">
        <v>32</v>
      </c>
      <c r="AI36" s="30" t="str">
        <f t="shared" si="0"/>
        <v>Gustavo Bumbum (GK)</v>
      </c>
      <c r="AJ36" s="32">
        <f t="shared" si="1"/>
        <v>5.3735999999999997</v>
      </c>
      <c r="AK36" s="56"/>
      <c r="AL36" s="158">
        <v>32</v>
      </c>
      <c r="AM36" s="30" t="str">
        <f t="shared" si="2"/>
        <v>Kyrius Barros</v>
      </c>
      <c r="AN36" s="86">
        <f t="shared" si="3"/>
        <v>0.24444444444444444</v>
      </c>
      <c r="AO36" s="76">
        <f>COUNTIF(AN$5:$AN36,AN36)</f>
        <v>1</v>
      </c>
      <c r="AP36" s="76" t="str">
        <f t="shared" si="25"/>
        <v>0,2444444444444441</v>
      </c>
      <c r="AR36" s="54" t="str">
        <f t="shared" si="26"/>
        <v/>
      </c>
      <c r="AS36" s="55" t="str">
        <f t="shared" si="27"/>
        <v/>
      </c>
      <c r="AT36" s="54">
        <f t="shared" si="28"/>
        <v>5.3150333333333331</v>
      </c>
      <c r="AU36" s="54" t="str">
        <f t="shared" si="29"/>
        <v/>
      </c>
      <c r="AV36" s="54"/>
      <c r="AW36" s="54" t="str">
        <f t="shared" si="4"/>
        <v/>
      </c>
      <c r="AX36" s="54" t="str">
        <f t="shared" si="5"/>
        <v/>
      </c>
      <c r="AY36" s="54">
        <f t="shared" si="6"/>
        <v>5.3150333333333331</v>
      </c>
      <c r="AZ36" s="54" t="str">
        <f t="shared" si="7"/>
        <v/>
      </c>
      <c r="BC36" s="5">
        <f t="shared" si="8"/>
        <v>5.3150333333333331</v>
      </c>
      <c r="BE36" s="158">
        <v>32</v>
      </c>
      <c r="BF36" s="30" t="str">
        <f t="shared" si="9"/>
        <v>Salomão Charbel</v>
      </c>
      <c r="BG36" s="31">
        <f t="shared" si="10"/>
        <v>5</v>
      </c>
      <c r="BH36">
        <f>COUNTIF(BG$5:$BG36,BG36)</f>
        <v>2</v>
      </c>
      <c r="BI36" t="str">
        <f t="shared" si="30"/>
        <v>52</v>
      </c>
      <c r="BK36" s="158">
        <v>32</v>
      </c>
      <c r="BL36" s="30" t="str">
        <f t="shared" si="11"/>
        <v>Gustavo Bumbum (GK)</v>
      </c>
      <c r="BM36" s="31">
        <f t="shared" si="12"/>
        <v>2</v>
      </c>
      <c r="BN36">
        <f>COUNTIF(BM$5:$BM36,BM36)</f>
        <v>2</v>
      </c>
      <c r="BO36" t="str">
        <f t="shared" si="31"/>
        <v>22</v>
      </c>
    </row>
    <row r="37" spans="2:67" x14ac:dyDescent="0.25">
      <c r="B37" s="21" t="str">
        <f>JAN!B37</f>
        <v>Pablo Brandão</v>
      </c>
      <c r="C37" s="105" t="s">
        <v>61</v>
      </c>
      <c r="D37" s="159">
        <f>SUM(JAN:DEZ!AB37)</f>
        <v>21</v>
      </c>
      <c r="E37" s="7">
        <f t="shared" si="13"/>
        <v>0.46666666666666667</v>
      </c>
      <c r="F37" s="3">
        <f>SUM(JAN:DEZ!AC37)</f>
        <v>4</v>
      </c>
      <c r="G37" s="3">
        <f>SUM(JAN:DEZ!AD37)</f>
        <v>9</v>
      </c>
      <c r="H37" s="3">
        <f>SUM(JAN:DEZ!AE37)</f>
        <v>13</v>
      </c>
      <c r="I37" s="3">
        <f>SUM(JAN:DEZ!AF37)</f>
        <v>5</v>
      </c>
      <c r="J37" s="10">
        <f>IFERROR(AVERAGE(JAN:DEZ!AG37),"-")</f>
        <v>5.4248095238095226</v>
      </c>
      <c r="K37" s="72">
        <f>COUNTIF(F$5:$F37,F37)</f>
        <v>1</v>
      </c>
      <c r="L37" s="40" t="str">
        <f t="shared" si="14"/>
        <v>41</v>
      </c>
      <c r="M37" s="40">
        <f>COUNTIF(G$5:$G37,G37)</f>
        <v>1</v>
      </c>
      <c r="N37" s="40" t="str">
        <f t="shared" si="15"/>
        <v>91</v>
      </c>
      <c r="O37" s="40">
        <f>COUNTIF(E$5:$E37,E37)</f>
        <v>3</v>
      </c>
      <c r="P37" s="130" t="str">
        <f t="shared" si="16"/>
        <v>0,4666666666666673</v>
      </c>
      <c r="Q37" s="130">
        <f>COUNTIF(H$5:$H37,H37)</f>
        <v>1</v>
      </c>
      <c r="R37" s="130" t="str">
        <f t="shared" si="17"/>
        <v>131</v>
      </c>
      <c r="S37" s="130">
        <f>COUNTIF(I$5:$I37,I37)</f>
        <v>2</v>
      </c>
      <c r="T37" s="84" t="str">
        <f t="shared" si="18"/>
        <v>52</v>
      </c>
      <c r="U37" s="57"/>
      <c r="V37" s="58"/>
      <c r="W37" s="132">
        <f>AVERAGE(J13,J26,J42,J10,J20,J45)</f>
        <v>5.5990049703383038</v>
      </c>
      <c r="X37" s="56"/>
      <c r="Y37" s="57"/>
      <c r="Z37" s="57"/>
      <c r="AA37" s="57"/>
      <c r="AB37" s="49">
        <v>8</v>
      </c>
      <c r="AC37" s="30" t="str">
        <f t="shared" si="35"/>
        <v>Marco Antonio</v>
      </c>
      <c r="AD37" s="32">
        <f t="shared" si="32"/>
        <v>5.6049999999999995</v>
      </c>
      <c r="AE37"/>
      <c r="AF37"/>
      <c r="AG37"/>
      <c r="AH37" s="49">
        <v>33</v>
      </c>
      <c r="AI37" s="30" t="str">
        <f t="shared" si="0"/>
        <v>Yamam Fagundes</v>
      </c>
      <c r="AJ37" s="32">
        <f t="shared" si="1"/>
        <v>5.35</v>
      </c>
      <c r="AK37" s="56"/>
      <c r="AL37" s="158">
        <v>33</v>
      </c>
      <c r="AM37" s="30" t="str">
        <f t="shared" si="2"/>
        <v>Marcelo Castro</v>
      </c>
      <c r="AN37" s="86">
        <f t="shared" si="3"/>
        <v>0.22222222222222221</v>
      </c>
      <c r="AO37" s="76">
        <f>COUNTIF(AN$5:$AN37,AN37)</f>
        <v>1</v>
      </c>
      <c r="AP37" s="76" t="str">
        <f t="shared" si="25"/>
        <v>0,2222222222222221</v>
      </c>
      <c r="AR37" s="54" t="str">
        <f t="shared" si="26"/>
        <v/>
      </c>
      <c r="AS37" s="55">
        <f t="shared" si="27"/>
        <v>5.4248095238095226</v>
      </c>
      <c r="AT37" s="54" t="str">
        <f t="shared" si="28"/>
        <v/>
      </c>
      <c r="AU37" s="54" t="str">
        <f t="shared" si="29"/>
        <v/>
      </c>
      <c r="AV37" s="54"/>
      <c r="AW37" s="54" t="str">
        <f t="shared" si="4"/>
        <v/>
      </c>
      <c r="AX37" s="54">
        <f t="shared" si="5"/>
        <v>5.4248095238095226</v>
      </c>
      <c r="AY37" s="54" t="str">
        <f t="shared" si="6"/>
        <v/>
      </c>
      <c r="AZ37" s="54" t="str">
        <f t="shared" si="7"/>
        <v/>
      </c>
      <c r="BC37" s="5">
        <f t="shared" si="8"/>
        <v>5.4248095238095226</v>
      </c>
      <c r="BE37" s="158">
        <v>33</v>
      </c>
      <c r="BF37" s="30" t="str">
        <f t="shared" si="9"/>
        <v>Pedro Abreu</v>
      </c>
      <c r="BG37" s="31">
        <f t="shared" si="10"/>
        <v>4</v>
      </c>
      <c r="BH37">
        <f>COUNTIF(BG$5:$BG37,BG37)</f>
        <v>1</v>
      </c>
      <c r="BI37" t="str">
        <f t="shared" si="30"/>
        <v>41</v>
      </c>
      <c r="BK37" s="158">
        <v>33</v>
      </c>
      <c r="BL37" s="30" t="str">
        <f t="shared" si="11"/>
        <v>Jeferson Neves</v>
      </c>
      <c r="BM37" s="31">
        <f t="shared" si="12"/>
        <v>2</v>
      </c>
      <c r="BN37">
        <f>COUNTIF(BM$5:$BM37,BM37)</f>
        <v>3</v>
      </c>
      <c r="BO37" t="str">
        <f t="shared" si="31"/>
        <v>23</v>
      </c>
    </row>
    <row r="38" spans="2:67" x14ac:dyDescent="0.25">
      <c r="B38" s="21" t="str">
        <f>JAN!B38</f>
        <v>Pedro Abreu</v>
      </c>
      <c r="C38" s="105" t="s">
        <v>60</v>
      </c>
      <c r="D38" s="159">
        <f>SUM(JAN:DEZ!AB38)</f>
        <v>3</v>
      </c>
      <c r="E38" s="7">
        <f t="shared" si="13"/>
        <v>6.6666666666666666E-2</v>
      </c>
      <c r="F38" s="3">
        <f>SUM(JAN:DEZ!AC38)</f>
        <v>3</v>
      </c>
      <c r="G38" s="3">
        <f>SUM(JAN:DEZ!AD38)</f>
        <v>1</v>
      </c>
      <c r="H38" s="3">
        <f>SUM(JAN:DEZ!AE38)</f>
        <v>4</v>
      </c>
      <c r="I38" s="3">
        <f>SUM(JAN:DEZ!AF38)</f>
        <v>0</v>
      </c>
      <c r="J38" s="10">
        <f>IFERROR(AVERAGE(JAN:DEZ!AG38),"-")</f>
        <v>4.6100000000000003</v>
      </c>
      <c r="K38" s="72">
        <f>COUNTIF(F$5:$F38,F38)</f>
        <v>2</v>
      </c>
      <c r="L38" s="40" t="str">
        <f t="shared" si="14"/>
        <v>32</v>
      </c>
      <c r="M38" s="40">
        <f>COUNTIF(G$5:$G38,G38)</f>
        <v>2</v>
      </c>
      <c r="N38" s="40" t="str">
        <f t="shared" si="15"/>
        <v>12</v>
      </c>
      <c r="O38" s="40">
        <f>COUNTIF(E$5:$E38,E38)</f>
        <v>4</v>
      </c>
      <c r="P38" s="130" t="str">
        <f t="shared" si="16"/>
        <v>0,06666666666666674</v>
      </c>
      <c r="Q38" s="130">
        <f>COUNTIF(H$5:$H38,H38)</f>
        <v>1</v>
      </c>
      <c r="R38" s="130" t="str">
        <f t="shared" si="17"/>
        <v>41</v>
      </c>
      <c r="S38" s="130">
        <f>COUNTIF(I$5:$I38,I38)</f>
        <v>5</v>
      </c>
      <c r="T38" s="84" t="str">
        <f t="shared" si="18"/>
        <v>05</v>
      </c>
      <c r="V38" s="58"/>
      <c r="W38" s="132">
        <f>AVERAGE(J29,J24,J38,J46,J18,J14)</f>
        <v>4.9108750000000008</v>
      </c>
      <c r="X38" s="56"/>
      <c r="Y38" s="57"/>
      <c r="Z38" s="57"/>
      <c r="AA38" s="57"/>
      <c r="AB38" s="49">
        <v>9</v>
      </c>
      <c r="AC38" s="30" t="str">
        <f t="shared" si="35"/>
        <v>Salomão Charbel</v>
      </c>
      <c r="AD38" s="32">
        <f t="shared" si="32"/>
        <v>5.5033333333333339</v>
      </c>
      <c r="AE38"/>
      <c r="AF38"/>
      <c r="AG38"/>
      <c r="AH38" s="49">
        <v>34</v>
      </c>
      <c r="AI38" s="30" t="str">
        <f t="shared" si="0"/>
        <v>Meurin</v>
      </c>
      <c r="AJ38" s="32">
        <f t="shared" si="1"/>
        <v>5.3150333333333331</v>
      </c>
      <c r="AK38" s="56"/>
      <c r="AL38" s="158">
        <v>34</v>
      </c>
      <c r="AM38" s="30" t="str">
        <f t="shared" si="2"/>
        <v>Rafael Vasconcelos</v>
      </c>
      <c r="AN38" s="86">
        <f t="shared" si="3"/>
        <v>0.17777777777777778</v>
      </c>
      <c r="AO38" s="76">
        <f>COUNTIF(AN$5:$AN38,AN38)</f>
        <v>1</v>
      </c>
      <c r="AP38" s="76" t="str">
        <f t="shared" si="25"/>
        <v>0,1777777777777781</v>
      </c>
      <c r="AR38" s="54" t="str">
        <f t="shared" si="26"/>
        <v/>
      </c>
      <c r="AS38" s="55" t="str">
        <f t="shared" si="27"/>
        <v/>
      </c>
      <c r="AT38" s="54" t="str">
        <f t="shared" si="28"/>
        <v/>
      </c>
      <c r="AU38" s="54">
        <f t="shared" si="29"/>
        <v>4.6100000000000003</v>
      </c>
      <c r="AV38" s="54"/>
      <c r="AW38" s="54" t="str">
        <f t="shared" si="4"/>
        <v/>
      </c>
      <c r="AX38" s="54" t="str">
        <f t="shared" si="5"/>
        <v/>
      </c>
      <c r="AY38" s="54" t="str">
        <f t="shared" si="6"/>
        <v/>
      </c>
      <c r="AZ38" s="54" t="str">
        <f t="shared" si="7"/>
        <v/>
      </c>
      <c r="BC38" s="5" t="str">
        <f t="shared" si="8"/>
        <v/>
      </c>
      <c r="BE38" s="158">
        <v>34</v>
      </c>
      <c r="BF38" s="30" t="str">
        <f t="shared" si="9"/>
        <v>Rafael Vasconcelos</v>
      </c>
      <c r="BG38" s="31">
        <f t="shared" si="10"/>
        <v>4</v>
      </c>
      <c r="BH38">
        <f>COUNTIF(BG$5:$BG38,BG38)</f>
        <v>2</v>
      </c>
      <c r="BI38" t="str">
        <f t="shared" si="30"/>
        <v>42</v>
      </c>
      <c r="BK38" s="158">
        <v>34</v>
      </c>
      <c r="BL38" s="30" t="str">
        <f t="shared" si="11"/>
        <v>Kyrius Barros</v>
      </c>
      <c r="BM38" s="31">
        <f t="shared" si="12"/>
        <v>2</v>
      </c>
      <c r="BN38">
        <f>COUNTIF(BM$5:$BM38,BM38)</f>
        <v>4</v>
      </c>
      <c r="BO38" t="str">
        <f t="shared" si="31"/>
        <v>24</v>
      </c>
    </row>
    <row r="39" spans="2:67" ht="15.75" thickBot="1" x14ac:dyDescent="0.3">
      <c r="B39" s="21" t="str">
        <f>JAN!B39</f>
        <v>Pedro Chequer</v>
      </c>
      <c r="C39" s="105" t="s">
        <v>61</v>
      </c>
      <c r="D39" s="159">
        <f>SUM(JAN:DEZ!AB39)</f>
        <v>21</v>
      </c>
      <c r="E39" s="7">
        <f t="shared" si="13"/>
        <v>0.46666666666666667</v>
      </c>
      <c r="F39" s="3">
        <f>SUM(JAN:DEZ!AC39)</f>
        <v>5</v>
      </c>
      <c r="G39" s="3">
        <f>SUM(JAN:DEZ!AD39)</f>
        <v>3</v>
      </c>
      <c r="H39" s="3">
        <f>SUM(JAN:DEZ!AE39)</f>
        <v>8</v>
      </c>
      <c r="I39" s="3">
        <f>SUM(JAN:DEZ!AF39)</f>
        <v>7</v>
      </c>
      <c r="J39" s="10">
        <f>IFERROR(AVERAGE(JAN:DEZ!AG39),"-")</f>
        <v>5.2406666666666668</v>
      </c>
      <c r="K39" s="72">
        <f>COUNTIF(F$5:$F39,F39)</f>
        <v>3</v>
      </c>
      <c r="L39" s="40" t="str">
        <f t="shared" si="14"/>
        <v>53</v>
      </c>
      <c r="M39" s="40">
        <f>COUNTIF(G$5:$G39,G39)</f>
        <v>4</v>
      </c>
      <c r="N39" s="40" t="str">
        <f t="shared" si="15"/>
        <v>34</v>
      </c>
      <c r="O39" s="40">
        <f>COUNTIF(E$5:$E39,E39)</f>
        <v>4</v>
      </c>
      <c r="P39" s="130" t="str">
        <f t="shared" si="16"/>
        <v>0,4666666666666674</v>
      </c>
      <c r="Q39" s="130">
        <f>COUNTIF(H$5:$H39,H39)</f>
        <v>2</v>
      </c>
      <c r="R39" s="130" t="str">
        <f t="shared" si="17"/>
        <v>82</v>
      </c>
      <c r="S39" s="130">
        <f>COUNTIF(I$5:$I39,I39)</f>
        <v>2</v>
      </c>
      <c r="T39" s="84" t="str">
        <f t="shared" si="18"/>
        <v>72</v>
      </c>
      <c r="V39" s="58"/>
      <c r="W39" s="132">
        <f>AVERAGE(J39,J32,J31,J21,J44,J37)</f>
        <v>5.3424354978354982</v>
      </c>
      <c r="X39" s="56"/>
      <c r="Y39" s="57"/>
      <c r="Z39" s="57"/>
      <c r="AA39" s="57"/>
      <c r="AB39" s="50">
        <v>10</v>
      </c>
      <c r="AC39" s="34" t="str">
        <f t="shared" si="35"/>
        <v>Leo Bitencourt</v>
      </c>
      <c r="AD39" s="36">
        <f t="shared" si="32"/>
        <v>5.4672222222222224</v>
      </c>
      <c r="AE39"/>
      <c r="AF39"/>
      <c r="AG39"/>
      <c r="AH39" s="49">
        <v>35</v>
      </c>
      <c r="AI39" s="30" t="str">
        <f t="shared" si="0"/>
        <v>João Victor - Bazim</v>
      </c>
      <c r="AJ39" s="32">
        <f t="shared" si="1"/>
        <v>5.3115151515151515</v>
      </c>
      <c r="AK39" s="56"/>
      <c r="AL39" s="158">
        <v>35</v>
      </c>
      <c r="AM39" s="30" t="str">
        <f t="shared" si="2"/>
        <v>Gustavo Gomes</v>
      </c>
      <c r="AN39" s="86">
        <f t="shared" si="3"/>
        <v>0.13333333333333333</v>
      </c>
      <c r="AO39" s="76">
        <f>COUNTIF(AN$5:$AN39,AN39)</f>
        <v>1</v>
      </c>
      <c r="AP39" s="76" t="str">
        <f t="shared" si="25"/>
        <v>0,1333333333333331</v>
      </c>
      <c r="AR39" s="54" t="str">
        <f t="shared" si="26"/>
        <v/>
      </c>
      <c r="AS39" s="55">
        <f t="shared" si="27"/>
        <v>5.2406666666666668</v>
      </c>
      <c r="AT39" s="54" t="str">
        <f t="shared" si="28"/>
        <v/>
      </c>
      <c r="AU39" s="54" t="str">
        <f t="shared" si="29"/>
        <v/>
      </c>
      <c r="AV39" s="54"/>
      <c r="AW39" s="54" t="str">
        <f t="shared" si="4"/>
        <v/>
      </c>
      <c r="AX39" s="54">
        <f t="shared" si="5"/>
        <v>5.2406666666666668</v>
      </c>
      <c r="AY39" s="54" t="str">
        <f t="shared" si="6"/>
        <v/>
      </c>
      <c r="AZ39" s="54" t="str">
        <f t="shared" si="7"/>
        <v/>
      </c>
      <c r="BC39" s="5">
        <f t="shared" si="8"/>
        <v>5.2406666666666668</v>
      </c>
      <c r="BE39" s="158">
        <v>35</v>
      </c>
      <c r="BF39" s="30" t="str">
        <f t="shared" si="9"/>
        <v>Wellington Leite</v>
      </c>
      <c r="BG39" s="31">
        <f t="shared" si="10"/>
        <v>4</v>
      </c>
      <c r="BH39">
        <f>COUNTIF(BG$5:$BG39,BG39)</f>
        <v>3</v>
      </c>
      <c r="BI39" t="str">
        <f t="shared" si="30"/>
        <v>43</v>
      </c>
      <c r="BK39" s="158">
        <v>35</v>
      </c>
      <c r="BL39" s="30" t="str">
        <f t="shared" si="11"/>
        <v>Rafael Vasconcelos</v>
      </c>
      <c r="BM39" s="31">
        <f t="shared" si="12"/>
        <v>2</v>
      </c>
      <c r="BN39">
        <f>COUNTIF(BM$5:$BM39,BM39)</f>
        <v>5</v>
      </c>
      <c r="BO39" t="str">
        <f t="shared" si="31"/>
        <v>25</v>
      </c>
    </row>
    <row r="40" spans="2:67" ht="15.75" thickBot="1" x14ac:dyDescent="0.3">
      <c r="B40" s="21" t="str">
        <f>JAN!B40</f>
        <v>Pedro Dias</v>
      </c>
      <c r="C40" s="105" t="s">
        <v>59</v>
      </c>
      <c r="D40" s="159">
        <f>SUM(JAN:DEZ!AB40)</f>
        <v>34</v>
      </c>
      <c r="E40" s="7">
        <f t="shared" si="13"/>
        <v>0.75555555555555554</v>
      </c>
      <c r="F40" s="3">
        <f>SUM(JAN:DEZ!AC40)</f>
        <v>49</v>
      </c>
      <c r="G40" s="3">
        <f>SUM(JAN:DEZ!AD40)</f>
        <v>56</v>
      </c>
      <c r="H40" s="3">
        <f>SUM(JAN:DEZ!AE40)</f>
        <v>105</v>
      </c>
      <c r="I40" s="3">
        <f>SUM(JAN:DEZ!AF40)</f>
        <v>12</v>
      </c>
      <c r="J40" s="10">
        <f>IFERROR(AVERAGE(JAN:DEZ!AG40),"-")</f>
        <v>5.9174074074074072</v>
      </c>
      <c r="K40" s="72">
        <f>COUNTIF(F$5:$F40,F40)</f>
        <v>2</v>
      </c>
      <c r="L40" s="40" t="str">
        <f t="shared" si="14"/>
        <v>492</v>
      </c>
      <c r="M40" s="40">
        <f>COUNTIF(G$5:$G40,G40)</f>
        <v>1</v>
      </c>
      <c r="N40" s="40" t="str">
        <f t="shared" si="15"/>
        <v>561</v>
      </c>
      <c r="O40" s="40">
        <f>COUNTIF(E$5:$E40,E40)</f>
        <v>1</v>
      </c>
      <c r="P40" s="130" t="str">
        <f t="shared" si="16"/>
        <v>0,7555555555555561</v>
      </c>
      <c r="Q40" s="130">
        <f>COUNTIF(H$5:$H40,H40)</f>
        <v>2</v>
      </c>
      <c r="R40" s="130" t="str">
        <f t="shared" si="17"/>
        <v>1052</v>
      </c>
      <c r="S40" s="130">
        <f>COUNTIF(I$5:$I40,I40)</f>
        <v>2</v>
      </c>
      <c r="T40" s="84" t="str">
        <f t="shared" si="18"/>
        <v>122</v>
      </c>
      <c r="V40" s="57"/>
      <c r="W40" s="57"/>
      <c r="X40" s="57"/>
      <c r="Y40" s="57"/>
      <c r="Z40" s="57"/>
      <c r="AA40" s="57"/>
      <c r="AB40" s="54"/>
      <c r="AC40"/>
      <c r="AD40"/>
      <c r="AE40"/>
      <c r="AF40"/>
      <c r="AG40"/>
      <c r="AH40" s="49">
        <v>36</v>
      </c>
      <c r="AI40" s="30" t="str">
        <f t="shared" si="0"/>
        <v>João Vitor Nunes</v>
      </c>
      <c r="AJ40" s="32">
        <f t="shared" si="1"/>
        <v>5.2606666666666664</v>
      </c>
      <c r="AK40" s="56"/>
      <c r="AL40" s="158">
        <v>36</v>
      </c>
      <c r="AM40" s="30" t="str">
        <f t="shared" si="2"/>
        <v>Breno (GK)</v>
      </c>
      <c r="AN40" s="86">
        <f t="shared" si="3"/>
        <v>0.1111111111111111</v>
      </c>
      <c r="AO40" s="76">
        <f>COUNTIF(AN$5:$AN40,AN40)</f>
        <v>1</v>
      </c>
      <c r="AP40" s="76" t="str">
        <f t="shared" si="25"/>
        <v>0,1111111111111111</v>
      </c>
      <c r="AR40" s="54" t="str">
        <f t="shared" si="26"/>
        <v/>
      </c>
      <c r="AS40" s="55" t="str">
        <f t="shared" si="27"/>
        <v/>
      </c>
      <c r="AT40" s="54">
        <f t="shared" si="28"/>
        <v>5.9174074074074072</v>
      </c>
      <c r="AU40" s="54" t="str">
        <f t="shared" si="29"/>
        <v/>
      </c>
      <c r="AV40" s="54"/>
      <c r="AW40" s="54" t="str">
        <f t="shared" si="4"/>
        <v/>
      </c>
      <c r="AX40" s="54" t="str">
        <f t="shared" si="5"/>
        <v/>
      </c>
      <c r="AY40" s="54">
        <f t="shared" si="6"/>
        <v>5.9174074074074072</v>
      </c>
      <c r="AZ40" s="54" t="str">
        <f t="shared" si="7"/>
        <v/>
      </c>
      <c r="BC40" s="5">
        <f t="shared" si="8"/>
        <v>5.9174074074074072</v>
      </c>
      <c r="BE40" s="158">
        <v>36</v>
      </c>
      <c r="BF40" s="30" t="str">
        <f t="shared" si="9"/>
        <v>Douglas DG (GK)</v>
      </c>
      <c r="BG40" s="31">
        <f t="shared" si="10"/>
        <v>3</v>
      </c>
      <c r="BH40">
        <f>COUNTIF(BG$5:$BG40,BG40)</f>
        <v>1</v>
      </c>
      <c r="BI40" t="str">
        <f t="shared" si="30"/>
        <v>31</v>
      </c>
      <c r="BK40" s="158">
        <v>36</v>
      </c>
      <c r="BL40" s="30" t="str">
        <f t="shared" si="11"/>
        <v>Lucas Bertolace</v>
      </c>
      <c r="BM40" s="31">
        <f t="shared" si="12"/>
        <v>1</v>
      </c>
      <c r="BN40">
        <f>COUNTIF(BM$5:$BM40,BM40)</f>
        <v>1</v>
      </c>
      <c r="BO40" t="str">
        <f t="shared" si="31"/>
        <v>11</v>
      </c>
    </row>
    <row r="41" spans="2:67" ht="15.75" thickBot="1" x14ac:dyDescent="0.3">
      <c r="B41" s="21" t="str">
        <f>JAN!B41</f>
        <v>Pierre Paulo</v>
      </c>
      <c r="C41" s="105" t="s">
        <v>61</v>
      </c>
      <c r="D41" s="159">
        <f>SUM(JAN:DEZ!AB41)</f>
        <v>37</v>
      </c>
      <c r="E41" s="7">
        <f t="shared" si="13"/>
        <v>0.82222222222222219</v>
      </c>
      <c r="F41" s="3">
        <f>SUM(JAN:DEZ!AC41)</f>
        <v>13</v>
      </c>
      <c r="G41" s="3">
        <f>SUM(JAN:DEZ!AD41)</f>
        <v>22</v>
      </c>
      <c r="H41" s="3">
        <f>SUM(JAN:DEZ!AE41)</f>
        <v>35</v>
      </c>
      <c r="I41" s="3">
        <f>SUM(JAN:DEZ!AF41)</f>
        <v>10</v>
      </c>
      <c r="J41" s="10">
        <f>IFERROR(AVERAGE(JAN:DEZ!AG41),"-")</f>
        <v>5.7146060606060605</v>
      </c>
      <c r="K41" s="72">
        <f>COUNTIF(F$5:$F41,F41)</f>
        <v>1</v>
      </c>
      <c r="L41" s="40" t="str">
        <f t="shared" si="14"/>
        <v>131</v>
      </c>
      <c r="M41" s="40">
        <f>COUNTIF(G$5:$G41,G41)</f>
        <v>2</v>
      </c>
      <c r="N41" s="40" t="str">
        <f t="shared" si="15"/>
        <v>222</v>
      </c>
      <c r="O41" s="40">
        <f>COUNTIF(E$5:$E41,E41)</f>
        <v>2</v>
      </c>
      <c r="P41" s="130" t="str">
        <f t="shared" si="16"/>
        <v>0,8222222222222222</v>
      </c>
      <c r="Q41" s="130">
        <f>COUNTIF(H$5:$H41,H41)</f>
        <v>1</v>
      </c>
      <c r="R41" s="130" t="str">
        <f t="shared" si="17"/>
        <v>351</v>
      </c>
      <c r="S41" s="130">
        <f>COUNTIF(I$5:$I41,I41)</f>
        <v>3</v>
      </c>
      <c r="T41" s="84" t="str">
        <f t="shared" si="18"/>
        <v>103</v>
      </c>
      <c r="V41"/>
      <c r="W41" s="59">
        <f>COUNTIF(C5:C50,"MEI")</f>
        <v>15</v>
      </c>
      <c r="X41"/>
      <c r="Y41"/>
      <c r="Z41"/>
      <c r="AA41"/>
      <c r="AB41" s="54"/>
      <c r="AC41" s="59">
        <f>COUNTIF(C5:C50,"ATA")</f>
        <v>8</v>
      </c>
      <c r="AD41"/>
      <c r="AE41"/>
      <c r="AF41"/>
      <c r="AG41"/>
      <c r="AH41" s="49">
        <v>37</v>
      </c>
      <c r="AI41" s="30" t="str">
        <f t="shared" si="0"/>
        <v>Pedro Chequer</v>
      </c>
      <c r="AJ41" s="32">
        <f t="shared" si="1"/>
        <v>5.2406666666666668</v>
      </c>
      <c r="AK41" s="56"/>
      <c r="AL41" s="158">
        <v>37</v>
      </c>
      <c r="AM41" s="30" t="str">
        <f t="shared" si="2"/>
        <v>Daniel Medeiros (GK)</v>
      </c>
      <c r="AN41" s="86">
        <f t="shared" si="3"/>
        <v>0.1111111111111111</v>
      </c>
      <c r="AO41" s="76">
        <f>COUNTIF(AN$5:$AN41,AN41)</f>
        <v>2</v>
      </c>
      <c r="AP41" s="76" t="str">
        <f t="shared" si="25"/>
        <v>0,1111111111111112</v>
      </c>
      <c r="AR41" s="54" t="str">
        <f t="shared" si="26"/>
        <v/>
      </c>
      <c r="AS41" s="55">
        <f t="shared" si="27"/>
        <v>5.7146060606060605</v>
      </c>
      <c r="AT41" s="54" t="str">
        <f t="shared" si="28"/>
        <v/>
      </c>
      <c r="AU41" s="54" t="str">
        <f t="shared" si="29"/>
        <v/>
      </c>
      <c r="AV41" s="54"/>
      <c r="AW41" s="54" t="str">
        <f t="shared" si="4"/>
        <v/>
      </c>
      <c r="AX41" s="54">
        <f t="shared" si="5"/>
        <v>5.7146060606060605</v>
      </c>
      <c r="AY41" s="54" t="str">
        <f t="shared" si="6"/>
        <v/>
      </c>
      <c r="AZ41" s="54" t="str">
        <f t="shared" si="7"/>
        <v/>
      </c>
      <c r="BC41" s="5">
        <f t="shared" si="8"/>
        <v>5.7146060606060605</v>
      </c>
      <c r="BE41" s="158">
        <v>37</v>
      </c>
      <c r="BF41" s="30" t="str">
        <f t="shared" si="9"/>
        <v>Jeferson Neves</v>
      </c>
      <c r="BG41" s="31">
        <f t="shared" si="10"/>
        <v>3</v>
      </c>
      <c r="BH41">
        <f>COUNTIF(BG$5:$BG41,BG41)</f>
        <v>2</v>
      </c>
      <c r="BI41" t="str">
        <f t="shared" si="30"/>
        <v>32</v>
      </c>
      <c r="BK41" s="158">
        <v>37</v>
      </c>
      <c r="BL41" s="30" t="str">
        <f t="shared" si="11"/>
        <v>Lucas Borela</v>
      </c>
      <c r="BM41" s="31">
        <f t="shared" si="12"/>
        <v>1</v>
      </c>
      <c r="BN41">
        <f>COUNTIF(BM$5:$BM41,BM41)</f>
        <v>2</v>
      </c>
      <c r="BO41" t="str">
        <f t="shared" si="31"/>
        <v>12</v>
      </c>
    </row>
    <row r="42" spans="2:67" x14ac:dyDescent="0.25">
      <c r="B42" s="21" t="str">
        <f>JAN!B42</f>
        <v>Rafael Mendes</v>
      </c>
      <c r="C42" s="105" t="s">
        <v>59</v>
      </c>
      <c r="D42" s="159">
        <f>SUM(JAN:DEZ!AB42)</f>
        <v>22</v>
      </c>
      <c r="E42" s="7">
        <f t="shared" si="13"/>
        <v>0.48888888888888887</v>
      </c>
      <c r="F42" s="3">
        <f>SUM(JAN:DEZ!AC42)</f>
        <v>29</v>
      </c>
      <c r="G42" s="3">
        <f>SUM(JAN:DEZ!AD42)</f>
        <v>24</v>
      </c>
      <c r="H42" s="3">
        <f>SUM(JAN:DEZ!AE42)</f>
        <v>53</v>
      </c>
      <c r="I42" s="3">
        <f>SUM(JAN:DEZ!AF42)</f>
        <v>7</v>
      </c>
      <c r="J42" s="10">
        <f>IFERROR(AVERAGE(JAN:DEZ!AG42),"-")</f>
        <v>5.7099047619047614</v>
      </c>
      <c r="K42" s="72">
        <f>COUNTIF(F$5:$F42,F42)</f>
        <v>2</v>
      </c>
      <c r="L42" s="40" t="str">
        <f t="shared" si="14"/>
        <v>292</v>
      </c>
      <c r="M42" s="40">
        <f>COUNTIF(G$5:$G42,G42)</f>
        <v>1</v>
      </c>
      <c r="N42" s="40" t="str">
        <f t="shared" si="15"/>
        <v>241</v>
      </c>
      <c r="O42" s="40">
        <f>COUNTIF(E$5:$E42,E42)</f>
        <v>1</v>
      </c>
      <c r="P42" s="130" t="str">
        <f t="shared" si="16"/>
        <v>0,4888888888888891</v>
      </c>
      <c r="Q42" s="130">
        <f>COUNTIF(H$5:$H42,H42)</f>
        <v>1</v>
      </c>
      <c r="R42" s="130" t="str">
        <f t="shared" si="17"/>
        <v>531</v>
      </c>
      <c r="S42" s="130">
        <f>COUNTIF(I$5:$I42,I42)</f>
        <v>3</v>
      </c>
      <c r="T42" s="84" t="str">
        <f t="shared" si="18"/>
        <v>73</v>
      </c>
      <c r="W42" s="374" t="s">
        <v>64</v>
      </c>
      <c r="X42" s="364" t="s">
        <v>40</v>
      </c>
      <c r="Y42"/>
      <c r="Z42"/>
      <c r="AA42"/>
      <c r="AB42" s="39"/>
      <c r="AC42" s="374" t="s">
        <v>65</v>
      </c>
      <c r="AD42" s="364" t="s">
        <v>40</v>
      </c>
      <c r="AE42"/>
      <c r="AF42"/>
      <c r="AG42"/>
      <c r="AH42" s="49">
        <v>38</v>
      </c>
      <c r="AI42" s="30" t="str">
        <f t="shared" si="0"/>
        <v>Reinaldo Santana</v>
      </c>
      <c r="AJ42" s="32">
        <f t="shared" si="1"/>
        <v>5.2028181818181816</v>
      </c>
      <c r="AK42" s="56"/>
      <c r="AL42" s="158">
        <v>38</v>
      </c>
      <c r="AM42" s="30" t="str">
        <f t="shared" si="2"/>
        <v>Leo Hubner</v>
      </c>
      <c r="AN42" s="86">
        <f t="shared" si="3"/>
        <v>0.1111111111111111</v>
      </c>
      <c r="AO42" s="76">
        <f>COUNTIF(AN$5:$AN42,AN42)</f>
        <v>3</v>
      </c>
      <c r="AP42" s="76" t="str">
        <f t="shared" si="25"/>
        <v>0,1111111111111113</v>
      </c>
      <c r="AR42" s="54" t="str">
        <f t="shared" si="26"/>
        <v/>
      </c>
      <c r="AS42" s="55" t="str">
        <f t="shared" si="27"/>
        <v/>
      </c>
      <c r="AT42" s="54">
        <f t="shared" si="28"/>
        <v>5.7099047619047614</v>
      </c>
      <c r="AU42" s="54" t="str">
        <f t="shared" si="29"/>
        <v/>
      </c>
      <c r="AV42" s="54"/>
      <c r="AW42" s="54" t="str">
        <f t="shared" si="4"/>
        <v/>
      </c>
      <c r="AX42" s="54" t="str">
        <f t="shared" si="5"/>
        <v/>
      </c>
      <c r="AY42" s="54">
        <f t="shared" si="6"/>
        <v>5.7099047619047614</v>
      </c>
      <c r="AZ42" s="54" t="str">
        <f t="shared" si="7"/>
        <v/>
      </c>
      <c r="BC42" s="5">
        <f t="shared" si="8"/>
        <v>5.7099047619047614</v>
      </c>
      <c r="BE42" s="158">
        <v>38</v>
      </c>
      <c r="BF42" s="30" t="str">
        <f t="shared" si="9"/>
        <v>Lucas Borela</v>
      </c>
      <c r="BG42" s="31">
        <f t="shared" si="10"/>
        <v>3</v>
      </c>
      <c r="BH42">
        <f>COUNTIF(BG$5:$BG42,BG42)</f>
        <v>3</v>
      </c>
      <c r="BI42" t="str">
        <f t="shared" si="30"/>
        <v>33</v>
      </c>
      <c r="BK42" s="158">
        <v>38</v>
      </c>
      <c r="BL42" s="30" t="str">
        <f t="shared" si="11"/>
        <v>Raphael Ambrosio</v>
      </c>
      <c r="BM42" s="31">
        <f t="shared" si="12"/>
        <v>1</v>
      </c>
      <c r="BN42">
        <f>COUNTIF(BM$5:$BM42,BM42)</f>
        <v>3</v>
      </c>
      <c r="BO42" t="str">
        <f t="shared" si="31"/>
        <v>13</v>
      </c>
    </row>
    <row r="43" spans="2:67" ht="15.75" thickBot="1" x14ac:dyDescent="0.3">
      <c r="B43" s="21" t="str">
        <f>JAN!B43</f>
        <v>Rafael Vasconcelos</v>
      </c>
      <c r="C43" s="105" t="s">
        <v>61</v>
      </c>
      <c r="D43" s="159">
        <f>SUM(JAN:DEZ!AB43)</f>
        <v>8</v>
      </c>
      <c r="E43" s="7">
        <f t="shared" si="13"/>
        <v>0.17777777777777778</v>
      </c>
      <c r="F43" s="3">
        <f>SUM(JAN:DEZ!AC43)</f>
        <v>1</v>
      </c>
      <c r="G43" s="3">
        <f>SUM(JAN:DEZ!AD43)</f>
        <v>3</v>
      </c>
      <c r="H43" s="3">
        <f>SUM(JAN:DEZ!AE43)</f>
        <v>4</v>
      </c>
      <c r="I43" s="3">
        <f>SUM(JAN:DEZ!AF43)</f>
        <v>2</v>
      </c>
      <c r="J43" s="10">
        <f>IFERROR(AVERAGE(JAN:DEZ!AG43),"-")</f>
        <v>4.6983333333333333</v>
      </c>
      <c r="K43" s="72">
        <f>COUNTIF(F$5:$F43,F43)</f>
        <v>3</v>
      </c>
      <c r="L43" s="40" t="str">
        <f t="shared" si="14"/>
        <v>13</v>
      </c>
      <c r="M43" s="40">
        <f>COUNTIF(G$5:$G43,G43)</f>
        <v>5</v>
      </c>
      <c r="N43" s="40" t="str">
        <f t="shared" si="15"/>
        <v>35</v>
      </c>
      <c r="O43" s="40">
        <f>COUNTIF(E$5:$E43,E43)</f>
        <v>1</v>
      </c>
      <c r="P43" s="130" t="str">
        <f t="shared" si="16"/>
        <v>0,1777777777777781</v>
      </c>
      <c r="Q43" s="130">
        <f>COUNTIF(H$5:$H43,H43)</f>
        <v>2</v>
      </c>
      <c r="R43" s="130" t="str">
        <f t="shared" si="17"/>
        <v>42</v>
      </c>
      <c r="S43" s="130">
        <f>COUNTIF(I$5:$I43,I43)</f>
        <v>5</v>
      </c>
      <c r="T43" s="84" t="str">
        <f t="shared" si="18"/>
        <v>25</v>
      </c>
      <c r="W43" s="374"/>
      <c r="X43" s="372"/>
      <c r="Y43"/>
      <c r="Z43"/>
      <c r="AA43"/>
      <c r="AB43" s="39"/>
      <c r="AC43" s="374"/>
      <c r="AD43" s="372"/>
      <c r="AE43"/>
      <c r="AF43"/>
      <c r="AG43"/>
      <c r="AH43" s="49">
        <v>39</v>
      </c>
      <c r="AI43" s="30" t="str">
        <f t="shared" si="0"/>
        <v>Gabriel Castro</v>
      </c>
      <c r="AJ43" s="32">
        <f t="shared" si="1"/>
        <v>5.1820476190476201</v>
      </c>
      <c r="AK43" s="56"/>
      <c r="AL43" s="158">
        <v>39</v>
      </c>
      <c r="AM43" s="30" t="str">
        <f t="shared" si="2"/>
        <v>Salomão Charbel</v>
      </c>
      <c r="AN43" s="86">
        <f t="shared" si="3"/>
        <v>0.1111111111111111</v>
      </c>
      <c r="AO43" s="76">
        <f>COUNTIF(AN$5:$AN43,AN43)</f>
        <v>4</v>
      </c>
      <c r="AP43" s="76" t="str">
        <f t="shared" si="25"/>
        <v>0,1111111111111114</v>
      </c>
      <c r="AR43" s="54" t="str">
        <f t="shared" si="26"/>
        <v/>
      </c>
      <c r="AS43" s="55">
        <f t="shared" si="27"/>
        <v>4.6983333333333333</v>
      </c>
      <c r="AT43" s="54" t="str">
        <f t="shared" si="28"/>
        <v/>
      </c>
      <c r="AU43" s="54" t="str">
        <f t="shared" si="29"/>
        <v/>
      </c>
      <c r="AV43" s="54"/>
      <c r="AW43" s="54" t="str">
        <f t="shared" si="4"/>
        <v/>
      </c>
      <c r="AX43" s="54" t="str">
        <f t="shared" si="5"/>
        <v/>
      </c>
      <c r="AY43" s="54" t="str">
        <f t="shared" si="6"/>
        <v/>
      </c>
      <c r="AZ43" s="54" t="str">
        <f t="shared" si="7"/>
        <v/>
      </c>
      <c r="BC43" s="5" t="str">
        <f t="shared" si="8"/>
        <v/>
      </c>
      <c r="BE43" s="158">
        <v>39</v>
      </c>
      <c r="BF43" s="30" t="str">
        <f t="shared" si="9"/>
        <v>Thiago Amorim - Caputira</v>
      </c>
      <c r="BG43" s="31">
        <f t="shared" si="10"/>
        <v>3</v>
      </c>
      <c r="BH43">
        <f>COUNTIF(BG$5:$BG43,BG43)</f>
        <v>4</v>
      </c>
      <c r="BI43" t="str">
        <f t="shared" si="30"/>
        <v>34</v>
      </c>
      <c r="BK43" s="158">
        <v>39</v>
      </c>
      <c r="BL43" s="30" t="str">
        <f t="shared" si="11"/>
        <v>Salomão Charbel</v>
      </c>
      <c r="BM43" s="31">
        <f t="shared" si="12"/>
        <v>1</v>
      </c>
      <c r="BN43">
        <f>COUNTIF(BM$5:$BM43,BM43)</f>
        <v>4</v>
      </c>
      <c r="BO43" t="str">
        <f t="shared" si="31"/>
        <v>14</v>
      </c>
    </row>
    <row r="44" spans="2:67" x14ac:dyDescent="0.25">
      <c r="B44" s="21" t="str">
        <f>JAN!B44</f>
        <v>Raphael Ambrosio</v>
      </c>
      <c r="C44" s="105" t="s">
        <v>61</v>
      </c>
      <c r="D44" s="159">
        <f>SUM(JAN:DEZ!AB44)</f>
        <v>13</v>
      </c>
      <c r="E44" s="7">
        <f t="shared" si="13"/>
        <v>0.28888888888888886</v>
      </c>
      <c r="F44" s="3">
        <f>SUM(JAN:DEZ!AC44)</f>
        <v>1</v>
      </c>
      <c r="G44" s="3">
        <f>SUM(JAN:DEZ!AD44)</f>
        <v>6</v>
      </c>
      <c r="H44" s="3">
        <f>SUM(JAN:DEZ!AE44)</f>
        <v>7</v>
      </c>
      <c r="I44" s="3">
        <f>SUM(JAN:DEZ!AF44)</f>
        <v>1</v>
      </c>
      <c r="J44" s="10">
        <f>IFERROR(AVERAGE(JAN:DEZ!AG44),"-")</f>
        <v>4.8480952380952385</v>
      </c>
      <c r="K44" s="72">
        <f>COUNTIF(F$5:$F44,F44)</f>
        <v>4</v>
      </c>
      <c r="L44" s="40" t="str">
        <f t="shared" si="14"/>
        <v>14</v>
      </c>
      <c r="M44" s="40">
        <f>COUNTIF(G$5:$G44,G44)</f>
        <v>1</v>
      </c>
      <c r="N44" s="40" t="str">
        <f t="shared" si="15"/>
        <v>61</v>
      </c>
      <c r="O44" s="40">
        <f>COUNTIF(E$5:$E44,E44)</f>
        <v>1</v>
      </c>
      <c r="P44" s="130" t="str">
        <f t="shared" si="16"/>
        <v>0,2888888888888891</v>
      </c>
      <c r="Q44" s="130">
        <f>COUNTIF(H$5:$H44,H44)</f>
        <v>1</v>
      </c>
      <c r="R44" s="130" t="str">
        <f t="shared" si="17"/>
        <v>71</v>
      </c>
      <c r="S44" s="130">
        <f>COUNTIF(I$5:$I44,I44)</f>
        <v>3</v>
      </c>
      <c r="T44" s="84" t="str">
        <f t="shared" si="18"/>
        <v>13</v>
      </c>
      <c r="V44" s="47">
        <v>1</v>
      </c>
      <c r="W44" s="101" t="str">
        <f>INDEX($B$5:$J$510,MATCH(X44,$J$5:$J$510,0),1)</f>
        <v>Marcelo Castro</v>
      </c>
      <c r="X44" s="116">
        <f>LARGE($AT$5:$AT$55,AB30)</f>
        <v>6.5958333333333332</v>
      </c>
      <c r="Y44"/>
      <c r="Z44"/>
      <c r="AA44"/>
      <c r="AB44" s="47">
        <v>1</v>
      </c>
      <c r="AC44" s="101" t="str">
        <f>IFERROR(INDEX($B$5:$J$5100,MATCH(AD44,$J$5:$J$100,0),1),"")</f>
        <v>Felipe Horsts</v>
      </c>
      <c r="AD44" s="116">
        <f>IFERROR(LARGE($AU$5:$AU$50,AB30),"")</f>
        <v>6.6021428571428578</v>
      </c>
      <c r="AE44"/>
      <c r="AF44"/>
      <c r="AG44"/>
      <c r="AH44" s="49">
        <v>40</v>
      </c>
      <c r="AI44" s="30" t="str">
        <f t="shared" si="0"/>
        <v>Allan Borela</v>
      </c>
      <c r="AJ44" s="32">
        <f t="shared" si="1"/>
        <v>4.9390476190476189</v>
      </c>
      <c r="AK44" s="56"/>
      <c r="AL44" s="158">
        <v>40</v>
      </c>
      <c r="AM44" s="30" t="str">
        <f t="shared" si="2"/>
        <v>Thiago Amorim - Caputira</v>
      </c>
      <c r="AN44" s="86">
        <f t="shared" si="3"/>
        <v>8.8888888888888892E-2</v>
      </c>
      <c r="AO44" s="76">
        <f>COUNTIF(AN$5:$AN44,AN44)</f>
        <v>1</v>
      </c>
      <c r="AP44" s="76" t="str">
        <f t="shared" si="25"/>
        <v>0,08888888888888891</v>
      </c>
      <c r="AR44" s="54" t="str">
        <f t="shared" si="26"/>
        <v/>
      </c>
      <c r="AS44" s="55">
        <f t="shared" si="27"/>
        <v>4.8480952380952385</v>
      </c>
      <c r="AT44" s="54" t="str">
        <f t="shared" si="28"/>
        <v/>
      </c>
      <c r="AU44" s="54" t="str">
        <f t="shared" si="29"/>
        <v/>
      </c>
      <c r="AV44" s="54"/>
      <c r="AW44" s="54" t="str">
        <f t="shared" si="4"/>
        <v/>
      </c>
      <c r="AX44" s="54" t="str">
        <f t="shared" si="5"/>
        <v/>
      </c>
      <c r="AY44" s="54" t="str">
        <f t="shared" si="6"/>
        <v/>
      </c>
      <c r="AZ44" s="54" t="str">
        <f t="shared" si="7"/>
        <v/>
      </c>
      <c r="BC44" s="5" t="str">
        <f t="shared" si="8"/>
        <v/>
      </c>
      <c r="BE44" s="158">
        <v>40</v>
      </c>
      <c r="BF44" s="30" t="str">
        <f t="shared" si="9"/>
        <v>Guilherme Santos (GK)</v>
      </c>
      <c r="BG44" s="31">
        <f t="shared" si="10"/>
        <v>2</v>
      </c>
      <c r="BH44">
        <f>COUNTIF(BG$5:$BG44,BG44)</f>
        <v>1</v>
      </c>
      <c r="BI44" t="str">
        <f t="shared" si="30"/>
        <v>21</v>
      </c>
      <c r="BK44" s="158">
        <v>40</v>
      </c>
      <c r="BL44" s="30" t="str">
        <f t="shared" si="11"/>
        <v>Wanderson Santiago</v>
      </c>
      <c r="BM44" s="31">
        <f t="shared" si="12"/>
        <v>1</v>
      </c>
      <c r="BN44">
        <f>COUNTIF(BM$5:$BM44,BM44)</f>
        <v>5</v>
      </c>
      <c r="BO44" t="str">
        <f t="shared" si="31"/>
        <v>15</v>
      </c>
    </row>
    <row r="45" spans="2:67" x14ac:dyDescent="0.25">
      <c r="B45" s="21" t="str">
        <f>JAN!B45</f>
        <v>Reinaldo Santana</v>
      </c>
      <c r="C45" s="105" t="s">
        <v>61</v>
      </c>
      <c r="D45" s="159">
        <f>SUM(JAN:DEZ!AB45)</f>
        <v>35</v>
      </c>
      <c r="E45" s="7">
        <f t="shared" si="13"/>
        <v>0.77777777777777779</v>
      </c>
      <c r="F45" s="3">
        <f>SUM(JAN:DEZ!AC45)</f>
        <v>15</v>
      </c>
      <c r="G45" s="3">
        <f>SUM(JAN:DEZ!AD45)</f>
        <v>19</v>
      </c>
      <c r="H45" s="3">
        <f>SUM(JAN:DEZ!AE45)</f>
        <v>34</v>
      </c>
      <c r="I45" s="3">
        <f>SUM(JAN:DEZ!AF45)</f>
        <v>12</v>
      </c>
      <c r="J45" s="10">
        <f>IFERROR(AVERAGE(JAN:DEZ!AG45),"-")</f>
        <v>5.2028181818181816</v>
      </c>
      <c r="K45" s="72">
        <f>COUNTIF(F$5:$F45,F45)</f>
        <v>1</v>
      </c>
      <c r="L45" s="40" t="str">
        <f t="shared" si="14"/>
        <v>151</v>
      </c>
      <c r="M45" s="40">
        <f>COUNTIF(G$5:$G45,G45)</f>
        <v>1</v>
      </c>
      <c r="N45" s="40" t="str">
        <f t="shared" si="15"/>
        <v>191</v>
      </c>
      <c r="O45" s="40">
        <f>COUNTIF(E$5:$E45,E45)</f>
        <v>2</v>
      </c>
      <c r="P45" s="130" t="str">
        <f t="shared" si="16"/>
        <v>0,7777777777777782</v>
      </c>
      <c r="Q45" s="130">
        <f>COUNTIF(H$5:$H45,H45)</f>
        <v>1</v>
      </c>
      <c r="R45" s="130" t="str">
        <f t="shared" si="17"/>
        <v>341</v>
      </c>
      <c r="S45" s="130">
        <f>COUNTIF(I$5:$I45,I45)</f>
        <v>3</v>
      </c>
      <c r="T45" s="84" t="str">
        <f t="shared" si="18"/>
        <v>123</v>
      </c>
      <c r="V45" s="170">
        <v>2</v>
      </c>
      <c r="W45" s="172" t="str">
        <f t="shared" ref="W45:W53" si="36">INDEX($B$5:$J$510,MATCH(X45,$J$5:$J$510,0),1)</f>
        <v>Gabriel Andrade</v>
      </c>
      <c r="X45" s="173">
        <f t="shared" ref="X45:X53" si="37">LARGE($AT$5:$AT$510,AB31)</f>
        <v>6.4784499999999996</v>
      </c>
      <c r="Y45"/>
      <c r="Z45"/>
      <c r="AA45"/>
      <c r="AB45" s="170">
        <v>2</v>
      </c>
      <c r="AC45" s="172" t="str">
        <f t="shared" ref="AC45:AC53" si="38">IFERROR(INDEX($B$5:$J$5100,MATCH(AD45,$J$5:$J$100,0),1),"")</f>
        <v>Matheus Gomes</v>
      </c>
      <c r="AD45" s="173">
        <f t="shared" ref="AD45:AD53" si="39">IFERROR(LARGE($AU$5:$AU$50,AB31),"")</f>
        <v>5.8201212121212116</v>
      </c>
      <c r="AE45"/>
      <c r="AF45"/>
      <c r="AG45"/>
      <c r="AH45" s="49">
        <v>41</v>
      </c>
      <c r="AI45" s="30" t="str">
        <f t="shared" si="0"/>
        <v>Raphael Ambrosio</v>
      </c>
      <c r="AJ45" s="32">
        <f t="shared" si="1"/>
        <v>4.8480952380952385</v>
      </c>
      <c r="AK45" s="56"/>
      <c r="AL45" s="158">
        <v>41</v>
      </c>
      <c r="AM45" s="30" t="str">
        <f t="shared" si="2"/>
        <v>Jeferson Neves</v>
      </c>
      <c r="AN45" s="86">
        <f t="shared" si="3"/>
        <v>6.6666666666666666E-2</v>
      </c>
      <c r="AO45" s="76">
        <f>COUNTIF(AN$5:$AN45,AN45)</f>
        <v>1</v>
      </c>
      <c r="AP45" s="76" t="str">
        <f t="shared" si="25"/>
        <v>0,06666666666666671</v>
      </c>
      <c r="AR45" s="54" t="str">
        <f t="shared" si="26"/>
        <v/>
      </c>
      <c r="AS45" s="55">
        <f t="shared" si="27"/>
        <v>5.2028181818181816</v>
      </c>
      <c r="AT45" s="54" t="str">
        <f t="shared" si="28"/>
        <v/>
      </c>
      <c r="AU45" s="54" t="str">
        <f t="shared" si="29"/>
        <v/>
      </c>
      <c r="AV45" s="54"/>
      <c r="AW45" s="54" t="str">
        <f t="shared" si="4"/>
        <v/>
      </c>
      <c r="AX45" s="54">
        <f t="shared" si="5"/>
        <v>5.2028181818181816</v>
      </c>
      <c r="AY45" s="54" t="str">
        <f t="shared" si="6"/>
        <v/>
      </c>
      <c r="AZ45" s="54" t="str">
        <f t="shared" si="7"/>
        <v/>
      </c>
      <c r="BC45" s="5">
        <f t="shared" si="8"/>
        <v>5.2028181818181816</v>
      </c>
      <c r="BE45" s="158">
        <v>41</v>
      </c>
      <c r="BF45" s="30" t="str">
        <f t="shared" si="9"/>
        <v>Ricardo Marchesini (GK)</v>
      </c>
      <c r="BG45" s="31">
        <f t="shared" si="10"/>
        <v>2</v>
      </c>
      <c r="BH45">
        <f>COUNTIF(BG$5:$BG45,BG45)</f>
        <v>2</v>
      </c>
      <c r="BI45" t="str">
        <f t="shared" si="30"/>
        <v>22</v>
      </c>
      <c r="BK45" s="158">
        <v>41</v>
      </c>
      <c r="BL45" s="30" t="str">
        <f t="shared" si="11"/>
        <v>Wellington Leite</v>
      </c>
      <c r="BM45" s="31">
        <f t="shared" si="12"/>
        <v>1</v>
      </c>
      <c r="BN45">
        <f>COUNTIF(BM$5:$BM45,BM45)</f>
        <v>6</v>
      </c>
      <c r="BO45" t="str">
        <f t="shared" si="31"/>
        <v>16</v>
      </c>
    </row>
    <row r="46" spans="2:67" x14ac:dyDescent="0.25">
      <c r="B46" s="21" t="str">
        <f>JAN!B46</f>
        <v>Ricardo Marchesini (GK)</v>
      </c>
      <c r="C46" s="105" t="s">
        <v>43</v>
      </c>
      <c r="D46" s="159">
        <f>SUM(JAN:DEZ!AB46)</f>
        <v>15</v>
      </c>
      <c r="E46" s="7">
        <f t="shared" si="13"/>
        <v>0.33333333333333331</v>
      </c>
      <c r="F46" s="3">
        <f>SUM(JAN:DEZ!AC46)</f>
        <v>0</v>
      </c>
      <c r="G46" s="3">
        <f>SUM(JAN:DEZ!AD46)</f>
        <v>2</v>
      </c>
      <c r="H46" s="3">
        <f>SUM(JAN:DEZ!AE46)</f>
        <v>2</v>
      </c>
      <c r="I46" s="3">
        <f>SUM(JAN:DEZ!AF46)</f>
        <v>5</v>
      </c>
      <c r="J46" s="10">
        <f>IFERROR(AVERAGE(JAN:DEZ!AG46),"-")</f>
        <v>5.8375000000000004</v>
      </c>
      <c r="K46" s="72">
        <f>COUNTIF(F$5:$F46,F46)</f>
        <v>9</v>
      </c>
      <c r="L46" s="40" t="str">
        <f t="shared" si="14"/>
        <v>09</v>
      </c>
      <c r="M46" s="40">
        <f>COUNTIF(G$5:$G46,G46)</f>
        <v>4</v>
      </c>
      <c r="N46" s="40" t="str">
        <f t="shared" si="15"/>
        <v>24</v>
      </c>
      <c r="O46" s="40">
        <f>COUNTIF(E$5:$E46,E46)</f>
        <v>2</v>
      </c>
      <c r="P46" s="130" t="str">
        <f t="shared" si="16"/>
        <v>0,3333333333333332</v>
      </c>
      <c r="Q46" s="130">
        <f>COUNTIF(H$5:$H46,H46)</f>
        <v>2</v>
      </c>
      <c r="R46" s="130" t="str">
        <f t="shared" si="17"/>
        <v>22</v>
      </c>
      <c r="S46" s="130">
        <f>COUNTIF(I$5:$I46,I46)</f>
        <v>3</v>
      </c>
      <c r="T46" s="84" t="str">
        <f t="shared" si="18"/>
        <v>53</v>
      </c>
      <c r="V46" s="175">
        <v>3</v>
      </c>
      <c r="W46" s="179" t="str">
        <f t="shared" si="36"/>
        <v>Henrique Viza</v>
      </c>
      <c r="X46" s="182">
        <f t="shared" si="37"/>
        <v>6.1605555555555558</v>
      </c>
      <c r="Y46"/>
      <c r="Z46"/>
      <c r="AA46"/>
      <c r="AB46" s="175">
        <v>3</v>
      </c>
      <c r="AC46" s="179" t="str">
        <f t="shared" si="38"/>
        <v>João Vitor Nunes</v>
      </c>
      <c r="AD46" s="182">
        <f t="shared" si="39"/>
        <v>5.2606666666666664</v>
      </c>
      <c r="AE46"/>
      <c r="AF46"/>
      <c r="AG46"/>
      <c r="AH46" s="49">
        <v>42</v>
      </c>
      <c r="AI46" s="30" t="str">
        <f t="shared" si="0"/>
        <v>Kyrius Barros</v>
      </c>
      <c r="AJ46" s="32">
        <f t="shared" si="1"/>
        <v>4.8090000000000002</v>
      </c>
      <c r="AK46" s="56"/>
      <c r="AL46" s="158">
        <v>42</v>
      </c>
      <c r="AM46" s="30" t="str">
        <f t="shared" si="2"/>
        <v>Lucas Bertolace</v>
      </c>
      <c r="AN46" s="86">
        <f t="shared" si="3"/>
        <v>6.6666666666666666E-2</v>
      </c>
      <c r="AO46" s="76">
        <f>COUNTIF(AN$5:$AN46,AN46)</f>
        <v>2</v>
      </c>
      <c r="AP46" s="76" t="str">
        <f t="shared" si="25"/>
        <v>0,06666666666666672</v>
      </c>
      <c r="AR46" s="54">
        <f t="shared" si="26"/>
        <v>5.8375000000000004</v>
      </c>
      <c r="AS46" s="55" t="str">
        <f t="shared" si="27"/>
        <v/>
      </c>
      <c r="AT46" s="54" t="str">
        <f t="shared" si="28"/>
        <v/>
      </c>
      <c r="AU46" s="54" t="str">
        <f t="shared" si="29"/>
        <v/>
      </c>
      <c r="AV46" s="54"/>
      <c r="AW46" s="54">
        <f t="shared" si="4"/>
        <v>5.8375000000000004</v>
      </c>
      <c r="AX46" s="54" t="str">
        <f t="shared" si="5"/>
        <v/>
      </c>
      <c r="AY46" s="54" t="str">
        <f t="shared" si="6"/>
        <v/>
      </c>
      <c r="AZ46" s="54" t="str">
        <f t="shared" si="7"/>
        <v/>
      </c>
      <c r="BC46" s="5">
        <f t="shared" si="8"/>
        <v>5.8375000000000004</v>
      </c>
      <c r="BE46" s="158">
        <v>42</v>
      </c>
      <c r="BF46" s="30" t="str">
        <f t="shared" si="9"/>
        <v>Daniel Medeiros (GK)</v>
      </c>
      <c r="BG46" s="31">
        <f t="shared" si="10"/>
        <v>1</v>
      </c>
      <c r="BH46">
        <f>COUNTIF(BG$5:$BG46,BG46)</f>
        <v>1</v>
      </c>
      <c r="BI46" t="str">
        <f t="shared" si="30"/>
        <v>11</v>
      </c>
      <c r="BK46" s="158">
        <v>42</v>
      </c>
      <c r="BL46" s="30" t="str">
        <f t="shared" si="11"/>
        <v>Yamam Fagundes</v>
      </c>
      <c r="BM46" s="31">
        <f t="shared" si="12"/>
        <v>1</v>
      </c>
      <c r="BN46">
        <f>COUNTIF(BM$5:$BM46,BM46)</f>
        <v>7</v>
      </c>
      <c r="BO46" t="str">
        <f t="shared" si="31"/>
        <v>17</v>
      </c>
    </row>
    <row r="47" spans="2:67" x14ac:dyDescent="0.25">
      <c r="B47" s="21" t="str">
        <f>JAN!B47</f>
        <v>Ruan Amorim</v>
      </c>
      <c r="C47" s="105" t="s">
        <v>61</v>
      </c>
      <c r="D47" s="159">
        <f>SUM(JAN:DEZ!AB47)</f>
        <v>37</v>
      </c>
      <c r="E47" s="7">
        <f t="shared" si="13"/>
        <v>0.82222222222222219</v>
      </c>
      <c r="F47" s="3">
        <f>SUM(JAN:DEZ!AC47)</f>
        <v>14</v>
      </c>
      <c r="G47" s="3">
        <f>SUM(JAN:DEZ!AD47)</f>
        <v>16</v>
      </c>
      <c r="H47" s="3">
        <f>SUM(JAN:DEZ!AE47)</f>
        <v>30</v>
      </c>
      <c r="I47" s="3">
        <f>SUM(JAN:DEZ!AF47)</f>
        <v>11</v>
      </c>
      <c r="J47" s="10">
        <f>IFERROR(AVERAGE(JAN:DEZ!AG47),"-")</f>
        <v>5.7792727272727271</v>
      </c>
      <c r="K47" s="72">
        <f>COUNTIF(F$5:$F47,F47)</f>
        <v>2</v>
      </c>
      <c r="L47" s="40" t="str">
        <f t="shared" si="14"/>
        <v>142</v>
      </c>
      <c r="M47" s="40">
        <f>COUNTIF(G$5:$G47,G47)</f>
        <v>1</v>
      </c>
      <c r="N47" s="40" t="str">
        <f t="shared" si="15"/>
        <v>161</v>
      </c>
      <c r="O47" s="40">
        <f>COUNTIF(E$5:$E47,E47)</f>
        <v>3</v>
      </c>
      <c r="P47" s="130" t="str">
        <f t="shared" si="16"/>
        <v>0,8222222222222223</v>
      </c>
      <c r="Q47" s="130">
        <f>COUNTIF(H$5:$H47,H47)</f>
        <v>1</v>
      </c>
      <c r="R47" s="130" t="str">
        <f t="shared" si="17"/>
        <v>301</v>
      </c>
      <c r="S47" s="130">
        <f>COUNTIF(I$5:$I47,I47)</f>
        <v>2</v>
      </c>
      <c r="T47" s="84" t="str">
        <f t="shared" si="18"/>
        <v>112</v>
      </c>
      <c r="V47" s="49">
        <v>4</v>
      </c>
      <c r="W47" s="30" t="str">
        <f t="shared" si="36"/>
        <v>Alberto Henrique</v>
      </c>
      <c r="X47" s="32">
        <f t="shared" si="37"/>
        <v>6.0820999999999996</v>
      </c>
      <c r="Y47"/>
      <c r="Z47"/>
      <c r="AA47"/>
      <c r="AB47" s="49">
        <v>4</v>
      </c>
      <c r="AC47" s="30" t="str">
        <f t="shared" si="38"/>
        <v>Gabriel Castro</v>
      </c>
      <c r="AD47" s="32">
        <f t="shared" si="39"/>
        <v>5.1820476190476201</v>
      </c>
      <c r="AE47"/>
      <c r="AF47"/>
      <c r="AG47"/>
      <c r="AH47" s="49">
        <v>43</v>
      </c>
      <c r="AI47" s="30" t="str">
        <f t="shared" si="0"/>
        <v>Rafael Vasconcelos</v>
      </c>
      <c r="AJ47" s="32">
        <f t="shared" si="1"/>
        <v>4.6983333333333333</v>
      </c>
      <c r="AK47" s="56"/>
      <c r="AL47" s="158">
        <v>43</v>
      </c>
      <c r="AM47" s="30" t="str">
        <f t="shared" si="2"/>
        <v>Lucas Borela</v>
      </c>
      <c r="AN47" s="86">
        <f t="shared" si="3"/>
        <v>6.6666666666666666E-2</v>
      </c>
      <c r="AO47" s="76">
        <f>COUNTIF(AN$5:$AN47,AN47)</f>
        <v>3</v>
      </c>
      <c r="AP47" s="76" t="str">
        <f t="shared" si="25"/>
        <v>0,06666666666666673</v>
      </c>
      <c r="AR47" s="54" t="str">
        <f t="shared" si="26"/>
        <v/>
      </c>
      <c r="AS47" s="55">
        <f t="shared" si="27"/>
        <v>5.7792727272727271</v>
      </c>
      <c r="AT47" s="54" t="str">
        <f t="shared" si="28"/>
        <v/>
      </c>
      <c r="AU47" s="54" t="str">
        <f t="shared" si="29"/>
        <v/>
      </c>
      <c r="AV47" s="54"/>
      <c r="AW47" s="54" t="str">
        <f t="shared" si="4"/>
        <v/>
      </c>
      <c r="AX47" s="54">
        <f t="shared" si="5"/>
        <v>5.7792727272727271</v>
      </c>
      <c r="AY47" s="54" t="str">
        <f t="shared" si="6"/>
        <v/>
      </c>
      <c r="AZ47" s="54" t="str">
        <f t="shared" si="7"/>
        <v/>
      </c>
      <c r="BC47" s="5">
        <f t="shared" si="8"/>
        <v>5.7792727272727271</v>
      </c>
      <c r="BE47" s="158">
        <v>43</v>
      </c>
      <c r="BF47" s="30" t="str">
        <f t="shared" si="9"/>
        <v>Lucas Bertolace</v>
      </c>
      <c r="BG47" s="31">
        <f t="shared" si="10"/>
        <v>1</v>
      </c>
      <c r="BH47">
        <f>COUNTIF(BG$5:$BG47,BG47)</f>
        <v>2</v>
      </c>
      <c r="BI47" t="str">
        <f t="shared" si="30"/>
        <v>12</v>
      </c>
      <c r="BK47" s="158">
        <v>43</v>
      </c>
      <c r="BL47" s="30" t="str">
        <f t="shared" si="11"/>
        <v>Gabriel Teixeira</v>
      </c>
      <c r="BM47" s="31">
        <f t="shared" si="12"/>
        <v>0</v>
      </c>
      <c r="BN47">
        <f>COUNTIF(BM$5:$BM47,BM47)</f>
        <v>1</v>
      </c>
      <c r="BO47" t="str">
        <f t="shared" si="31"/>
        <v>01</v>
      </c>
    </row>
    <row r="48" spans="2:67" x14ac:dyDescent="0.25">
      <c r="B48" s="21" t="str">
        <f>JAN!B48</f>
        <v>Salomão Charbel</v>
      </c>
      <c r="C48" s="105" t="s">
        <v>61</v>
      </c>
      <c r="D48" s="159">
        <f>SUM(JAN:DEZ!AB48)</f>
        <v>5</v>
      </c>
      <c r="E48" s="7">
        <f t="shared" si="13"/>
        <v>0.1111111111111111</v>
      </c>
      <c r="F48" s="3">
        <f>SUM(JAN:DEZ!AC48)</f>
        <v>5</v>
      </c>
      <c r="G48" s="3">
        <f>SUM(JAN:DEZ!AD48)</f>
        <v>0</v>
      </c>
      <c r="H48" s="3">
        <f>SUM(JAN:DEZ!AE48)</f>
        <v>5</v>
      </c>
      <c r="I48" s="3">
        <f>SUM(JAN:DEZ!AF48)</f>
        <v>1</v>
      </c>
      <c r="J48" s="10">
        <f>IFERROR(AVERAGE(JAN:DEZ!AG48),"-")</f>
        <v>5.5033333333333339</v>
      </c>
      <c r="K48" s="72">
        <f>COUNTIF(F$5:$F48,F48)</f>
        <v>4</v>
      </c>
      <c r="L48" s="40" t="str">
        <f t="shared" si="14"/>
        <v>54</v>
      </c>
      <c r="M48" s="40">
        <f>COUNTIF(G$5:$G48,G48)</f>
        <v>6</v>
      </c>
      <c r="N48" s="40" t="str">
        <f t="shared" si="15"/>
        <v>06</v>
      </c>
      <c r="O48" s="40">
        <f>COUNTIF(E$5:$E48,E48)</f>
        <v>4</v>
      </c>
      <c r="P48" s="130" t="str">
        <f t="shared" si="16"/>
        <v>0,1111111111111114</v>
      </c>
      <c r="Q48" s="130">
        <f>COUNTIF(H$5:$H48,H48)</f>
        <v>2</v>
      </c>
      <c r="R48" s="130" t="str">
        <f t="shared" si="17"/>
        <v>52</v>
      </c>
      <c r="S48" s="130">
        <f>COUNTIF(I$5:$I48,I48)</f>
        <v>4</v>
      </c>
      <c r="T48" s="84" t="str">
        <f t="shared" si="18"/>
        <v>14</v>
      </c>
      <c r="V48" s="49">
        <v>5</v>
      </c>
      <c r="W48" s="30" t="str">
        <f t="shared" si="36"/>
        <v>José Guilherme</v>
      </c>
      <c r="X48" s="32">
        <f t="shared" si="37"/>
        <v>6.0566666666666675</v>
      </c>
      <c r="Y48"/>
      <c r="Z48"/>
      <c r="AA48"/>
      <c r="AB48" s="49">
        <v>5</v>
      </c>
      <c r="AC48" s="30" t="str">
        <f t="shared" si="38"/>
        <v>Kyrius Barros</v>
      </c>
      <c r="AD48" s="32">
        <f t="shared" si="39"/>
        <v>4.8090000000000002</v>
      </c>
      <c r="AE48"/>
      <c r="AF48"/>
      <c r="AG48"/>
      <c r="AH48" s="49">
        <v>44</v>
      </c>
      <c r="AI48" s="30" t="str">
        <f t="shared" si="0"/>
        <v>Gabriel Teixeira</v>
      </c>
      <c r="AJ48" s="32">
        <f t="shared" si="1"/>
        <v>4.66</v>
      </c>
      <c r="AK48" s="56"/>
      <c r="AL48" s="158">
        <v>44</v>
      </c>
      <c r="AM48" s="30" t="str">
        <f t="shared" si="2"/>
        <v>Pedro Abreu</v>
      </c>
      <c r="AN48" s="86">
        <f t="shared" si="3"/>
        <v>6.6666666666666666E-2</v>
      </c>
      <c r="AO48" s="76">
        <f>COUNTIF(AN$5:$AN48,AN48)</f>
        <v>4</v>
      </c>
      <c r="AP48" s="76" t="str">
        <f t="shared" si="25"/>
        <v>0,06666666666666674</v>
      </c>
      <c r="AR48" s="54" t="str">
        <f t="shared" si="26"/>
        <v/>
      </c>
      <c r="AS48" s="55">
        <f t="shared" si="27"/>
        <v>5.5033333333333339</v>
      </c>
      <c r="AT48" s="54" t="str">
        <f t="shared" si="28"/>
        <v/>
      </c>
      <c r="AU48" s="54" t="str">
        <f t="shared" si="29"/>
        <v/>
      </c>
      <c r="AV48" s="54"/>
      <c r="AW48" s="54" t="str">
        <f t="shared" si="4"/>
        <v/>
      </c>
      <c r="AX48" s="54" t="str">
        <f t="shared" si="5"/>
        <v/>
      </c>
      <c r="AY48" s="54" t="str">
        <f t="shared" si="6"/>
        <v/>
      </c>
      <c r="AZ48" s="54" t="str">
        <f t="shared" si="7"/>
        <v/>
      </c>
      <c r="BC48" s="5" t="str">
        <f t="shared" si="8"/>
        <v/>
      </c>
      <c r="BE48" s="158">
        <v>44</v>
      </c>
      <c r="BF48" s="30" t="str">
        <f t="shared" si="9"/>
        <v>Yamam Fagundes</v>
      </c>
      <c r="BG48" s="31">
        <f t="shared" si="10"/>
        <v>1</v>
      </c>
      <c r="BH48">
        <f>COUNTIF(BG$5:$BG48,BG48)</f>
        <v>3</v>
      </c>
      <c r="BI48" t="str">
        <f t="shared" si="30"/>
        <v>13</v>
      </c>
      <c r="BK48" s="158">
        <v>44</v>
      </c>
      <c r="BL48" s="30" t="str">
        <f t="shared" si="11"/>
        <v>Gustavo Gomes</v>
      </c>
      <c r="BM48" s="31">
        <f t="shared" si="12"/>
        <v>0</v>
      </c>
      <c r="BN48">
        <f>COUNTIF(BM$5:$BM48,BM48)</f>
        <v>2</v>
      </c>
      <c r="BO48" t="str">
        <f t="shared" si="31"/>
        <v>02</v>
      </c>
    </row>
    <row r="49" spans="2:67" x14ac:dyDescent="0.25">
      <c r="B49" s="21" t="str">
        <f>JAN!B49</f>
        <v>Thiago Amorim - Caputira</v>
      </c>
      <c r="C49" s="105" t="s">
        <v>59</v>
      </c>
      <c r="D49" s="159">
        <f>SUM(JAN:DEZ!AB49)</f>
        <v>4</v>
      </c>
      <c r="E49" s="7">
        <f t="shared" si="13"/>
        <v>8.8888888888888892E-2</v>
      </c>
      <c r="F49" s="3">
        <f>SUM(JAN:DEZ!AC49)</f>
        <v>0</v>
      </c>
      <c r="G49" s="3">
        <f>SUM(JAN:DEZ!AD49)</f>
        <v>3</v>
      </c>
      <c r="H49" s="3">
        <f>SUM(JAN:DEZ!AE49)</f>
        <v>3</v>
      </c>
      <c r="I49" s="3">
        <f>SUM(JAN:DEZ!AF49)</f>
        <v>0</v>
      </c>
      <c r="J49" s="10">
        <f>IFERROR(AVERAGE(JAN:DEZ!AG49),"-")</f>
        <v>6.0266666666666664</v>
      </c>
      <c r="K49" s="72">
        <f>COUNTIF(F$5:$F49,F49)</f>
        <v>10</v>
      </c>
      <c r="L49" s="40" t="str">
        <f t="shared" si="14"/>
        <v>010</v>
      </c>
      <c r="M49" s="40">
        <f>COUNTIF(G$5:$G49,G49)</f>
        <v>6</v>
      </c>
      <c r="N49" s="40" t="str">
        <f t="shared" si="15"/>
        <v>36</v>
      </c>
      <c r="O49" s="40">
        <f>COUNTIF(E$5:$E49,E49)</f>
        <v>1</v>
      </c>
      <c r="P49" s="130" t="str">
        <f t="shared" si="16"/>
        <v>0,08888888888888891</v>
      </c>
      <c r="Q49" s="130">
        <f>COUNTIF(H$5:$H49,H49)</f>
        <v>4</v>
      </c>
      <c r="R49" s="130" t="str">
        <f t="shared" si="17"/>
        <v>34</v>
      </c>
      <c r="S49" s="130">
        <f>COUNTIF(I$5:$I49,I49)</f>
        <v>6</v>
      </c>
      <c r="T49" s="84" t="str">
        <f t="shared" si="18"/>
        <v>06</v>
      </c>
      <c r="V49" s="49">
        <v>6</v>
      </c>
      <c r="W49" s="30" t="str">
        <f t="shared" si="36"/>
        <v>Thiago Amorim - Caputira</v>
      </c>
      <c r="X49" s="32">
        <f t="shared" si="37"/>
        <v>6.0266666666666664</v>
      </c>
      <c r="Y49"/>
      <c r="Z49"/>
      <c r="AA49"/>
      <c r="AB49" s="49">
        <v>6</v>
      </c>
      <c r="AC49" s="30" t="str">
        <f t="shared" si="38"/>
        <v>Pedro Abreu</v>
      </c>
      <c r="AD49" s="32">
        <f t="shared" si="39"/>
        <v>4.6100000000000003</v>
      </c>
      <c r="AE49"/>
      <c r="AF49"/>
      <c r="AG49"/>
      <c r="AH49" s="49">
        <v>45</v>
      </c>
      <c r="AI49" s="30" t="str">
        <f t="shared" si="0"/>
        <v>Pedro Abreu</v>
      </c>
      <c r="AJ49" s="32">
        <f t="shared" si="1"/>
        <v>4.6100000000000003</v>
      </c>
      <c r="AK49" s="56"/>
      <c r="AL49" s="158">
        <v>45</v>
      </c>
      <c r="AM49" s="30" t="str">
        <f t="shared" si="2"/>
        <v>Wellington Leite</v>
      </c>
      <c r="AN49" s="86">
        <f t="shared" si="3"/>
        <v>4.4444444444444446E-2</v>
      </c>
      <c r="AO49" s="76">
        <f>COUNTIF(AN$5:$AN49,AN49)</f>
        <v>1</v>
      </c>
      <c r="AP49" s="76" t="str">
        <f t="shared" si="25"/>
        <v>0,04444444444444441</v>
      </c>
      <c r="AR49" s="54" t="str">
        <f t="shared" si="26"/>
        <v/>
      </c>
      <c r="AS49" s="55" t="str">
        <f t="shared" si="27"/>
        <v/>
      </c>
      <c r="AT49" s="54">
        <f t="shared" si="28"/>
        <v>6.0266666666666664</v>
      </c>
      <c r="AU49" s="54" t="str">
        <f t="shared" si="29"/>
        <v/>
      </c>
      <c r="AV49" s="54"/>
      <c r="AW49" s="54" t="str">
        <f t="shared" si="4"/>
        <v/>
      </c>
      <c r="AX49" s="54" t="str">
        <f t="shared" si="5"/>
        <v/>
      </c>
      <c r="AY49" s="54" t="str">
        <f t="shared" si="6"/>
        <v/>
      </c>
      <c r="AZ49" s="54" t="str">
        <f t="shared" si="7"/>
        <v/>
      </c>
      <c r="BC49" s="5" t="str">
        <f t="shared" si="8"/>
        <v/>
      </c>
      <c r="BE49" s="158">
        <v>45</v>
      </c>
      <c r="BF49" s="30" t="str">
        <f t="shared" si="9"/>
        <v>Breno (GK)</v>
      </c>
      <c r="BG49" s="31">
        <f t="shared" si="10"/>
        <v>0</v>
      </c>
      <c r="BH49">
        <f>COUNTIF(BG$5:$BG49,BG49)</f>
        <v>1</v>
      </c>
      <c r="BI49" t="str">
        <f t="shared" ref="BI49" si="40">BG49&amp;BH49</f>
        <v>01</v>
      </c>
      <c r="BK49" s="158">
        <v>45</v>
      </c>
      <c r="BL49" s="30" t="str">
        <f t="shared" si="11"/>
        <v>Leo Hubner</v>
      </c>
      <c r="BM49" s="31">
        <f t="shared" si="12"/>
        <v>0</v>
      </c>
      <c r="BN49">
        <f>COUNTIF(BM$5:$BM49,BM49)</f>
        <v>3</v>
      </c>
      <c r="BO49" t="str">
        <f t="shared" si="31"/>
        <v>03</v>
      </c>
    </row>
    <row r="50" spans="2:67" x14ac:dyDescent="0.25">
      <c r="B50" s="21" t="str">
        <f>JAN!B50</f>
        <v>Wanderson Santiago</v>
      </c>
      <c r="C50" s="105" t="s">
        <v>59</v>
      </c>
      <c r="D50" s="159">
        <f>SUM(JAN:DEZ!AB50)</f>
        <v>12</v>
      </c>
      <c r="E50" s="7">
        <f t="shared" si="13"/>
        <v>0.26666666666666666</v>
      </c>
      <c r="F50" s="3">
        <f>SUM(JAN:DEZ!AC50)</f>
        <v>25</v>
      </c>
      <c r="G50" s="3">
        <f>SUM(JAN:DEZ!AD50)</f>
        <v>9</v>
      </c>
      <c r="H50" s="3">
        <f>SUM(JAN:DEZ!AE50)</f>
        <v>34</v>
      </c>
      <c r="I50" s="3">
        <f>SUM(JAN:DEZ!AF50)</f>
        <v>1</v>
      </c>
      <c r="J50" s="10">
        <f>IFERROR(AVERAGE(JAN:DEZ!AG50),"-")</f>
        <v>5.9611111111111112</v>
      </c>
      <c r="K50" s="72">
        <f>COUNTIF(F$5:$F50,F50)</f>
        <v>1</v>
      </c>
      <c r="L50" s="40" t="str">
        <f t="shared" si="14"/>
        <v>251</v>
      </c>
      <c r="M50" s="40">
        <f>COUNTIF(G$5:$G50,G50)</f>
        <v>2</v>
      </c>
      <c r="N50" s="40" t="str">
        <f t="shared" si="15"/>
        <v>92</v>
      </c>
      <c r="O50" s="40">
        <f>COUNTIF(E$5:$E50,E50)</f>
        <v>3</v>
      </c>
      <c r="P50" s="130" t="str">
        <f t="shared" si="16"/>
        <v>0,2666666666666673</v>
      </c>
      <c r="Q50" s="130">
        <f>COUNTIF(H$5:$H50,H50)</f>
        <v>2</v>
      </c>
      <c r="R50" s="130" t="str">
        <f t="shared" si="17"/>
        <v>342</v>
      </c>
      <c r="S50" s="130">
        <f>COUNTIF(I$5:$I50,I50)</f>
        <v>5</v>
      </c>
      <c r="T50" s="84" t="str">
        <f t="shared" si="18"/>
        <v>15</v>
      </c>
      <c r="V50" s="49">
        <v>7</v>
      </c>
      <c r="W50" s="30" t="str">
        <f t="shared" si="36"/>
        <v>Wanderson Santiago</v>
      </c>
      <c r="X50" s="32">
        <f t="shared" si="37"/>
        <v>5.9611111111111112</v>
      </c>
      <c r="Y50"/>
      <c r="Z50"/>
      <c r="AA50"/>
      <c r="AB50" s="49">
        <v>7</v>
      </c>
      <c r="AC50" s="30" t="str">
        <f t="shared" si="38"/>
        <v>Gustavo Gomes</v>
      </c>
      <c r="AD50" s="32">
        <f t="shared" si="39"/>
        <v>3.78</v>
      </c>
      <c r="AE50"/>
      <c r="AF50"/>
      <c r="AG50"/>
      <c r="AH50" s="49">
        <v>46</v>
      </c>
      <c r="AI50" s="30" t="str">
        <f t="shared" si="0"/>
        <v>Lucas Borela</v>
      </c>
      <c r="AJ50" s="32">
        <f t="shared" si="1"/>
        <v>4.1866666666666665</v>
      </c>
      <c r="AK50" s="56"/>
      <c r="AL50" s="158">
        <v>46</v>
      </c>
      <c r="AM50" s="30" t="str">
        <f t="shared" si="2"/>
        <v>Yamam Fagundes</v>
      </c>
      <c r="AN50" s="86">
        <f t="shared" si="3"/>
        <v>4.4444444444444446E-2</v>
      </c>
      <c r="AO50" s="76">
        <f>COUNTIF(AN$5:$AN50,AN50)</f>
        <v>2</v>
      </c>
      <c r="AP50" s="76" t="str">
        <f t="shared" ref="AP50:AP52" si="41">AN50&amp;AO50</f>
        <v>0,04444444444444442</v>
      </c>
      <c r="AR50" s="54" t="str">
        <f t="shared" si="26"/>
        <v/>
      </c>
      <c r="AS50" s="55" t="str">
        <f t="shared" si="27"/>
        <v/>
      </c>
      <c r="AT50" s="54">
        <f t="shared" si="28"/>
        <v>5.9611111111111112</v>
      </c>
      <c r="AU50" s="54" t="str">
        <f t="shared" si="29"/>
        <v/>
      </c>
      <c r="AV50" s="54"/>
      <c r="AW50" s="54" t="str">
        <f t="shared" si="4"/>
        <v/>
      </c>
      <c r="AX50" s="54" t="str">
        <f t="shared" si="5"/>
        <v/>
      </c>
      <c r="AY50" s="54" t="str">
        <f t="shared" si="6"/>
        <v/>
      </c>
      <c r="AZ50" s="54" t="str">
        <f t="shared" si="7"/>
        <v/>
      </c>
      <c r="BC50" s="5" t="str">
        <f t="shared" si="8"/>
        <v/>
      </c>
      <c r="BE50" s="158">
        <v>46</v>
      </c>
      <c r="BF50" s="30" t="str">
        <f t="shared" si="9"/>
        <v>Gabriel Teixeira</v>
      </c>
      <c r="BG50" s="31">
        <f t="shared" si="10"/>
        <v>0</v>
      </c>
      <c r="BH50">
        <f>COUNTIF(BG$5:$BG50,BG50)</f>
        <v>2</v>
      </c>
      <c r="BI50" t="str">
        <f t="shared" ref="BI50:BI52" si="42">BG50&amp;BH50</f>
        <v>02</v>
      </c>
      <c r="BK50" s="158">
        <v>46</v>
      </c>
      <c r="BL50" s="30" t="str">
        <f t="shared" si="11"/>
        <v>Luis do Corte</v>
      </c>
      <c r="BM50" s="31">
        <f t="shared" si="12"/>
        <v>0</v>
      </c>
      <c r="BN50">
        <f>COUNTIF(BM$5:$BM50,BM50)</f>
        <v>4</v>
      </c>
      <c r="BO50" t="str">
        <f t="shared" ref="BO50:BO52" si="43">BM50&amp;BN50</f>
        <v>04</v>
      </c>
    </row>
    <row r="51" spans="2:67" x14ac:dyDescent="0.25">
      <c r="B51" s="21" t="str">
        <f>JAN!B51</f>
        <v>Wellington Leite</v>
      </c>
      <c r="C51" s="105" t="s">
        <v>60</v>
      </c>
      <c r="D51" s="159">
        <f>SUM(JAN:DEZ!AB51)</f>
        <v>2</v>
      </c>
      <c r="E51" s="7">
        <f t="shared" si="13"/>
        <v>4.4444444444444446E-2</v>
      </c>
      <c r="F51" s="3">
        <f>SUM(JAN:DEZ!AC51)</f>
        <v>1</v>
      </c>
      <c r="G51" s="3">
        <f>SUM(JAN:DEZ!AD51)</f>
        <v>3</v>
      </c>
      <c r="H51" s="3">
        <f>SUM(JAN:DEZ!AE51)</f>
        <v>4</v>
      </c>
      <c r="I51" s="3">
        <f>SUM(JAN:DEZ!AF51)</f>
        <v>1</v>
      </c>
      <c r="J51" s="10">
        <f>IFERROR(AVERAGE(JAN:DEZ!AG51),"-")</f>
        <v>5.52</v>
      </c>
      <c r="K51" s="72">
        <f>COUNTIF(F$5:$F51,F51)</f>
        <v>5</v>
      </c>
      <c r="L51" s="40" t="str">
        <f t="shared" ref="L51:L52" si="44">F51&amp;K51</f>
        <v>15</v>
      </c>
      <c r="M51" s="40">
        <f>COUNTIF(G$5:$G51,G51)</f>
        <v>7</v>
      </c>
      <c r="N51" s="40" t="str">
        <f t="shared" ref="N51:N52" si="45">G51&amp;M51</f>
        <v>37</v>
      </c>
      <c r="O51" s="40">
        <f>COUNTIF(E$5:$E51,E51)</f>
        <v>1</v>
      </c>
      <c r="P51" s="130" t="str">
        <f t="shared" ref="P51:P52" si="46">E51&amp;O51</f>
        <v>0,04444444444444441</v>
      </c>
      <c r="Q51" s="130">
        <f>COUNTIF(H$5:$H51,H51)</f>
        <v>3</v>
      </c>
      <c r="R51" s="130" t="str">
        <f t="shared" ref="R51:R52" si="47">H51&amp;Q51</f>
        <v>43</v>
      </c>
      <c r="S51" s="130">
        <f>COUNTIF(I$5:$I51,I51)</f>
        <v>6</v>
      </c>
      <c r="T51" s="84" t="str">
        <f t="shared" ref="T51:T52" si="48">I51&amp;S51</f>
        <v>16</v>
      </c>
      <c r="V51" s="49">
        <v>8</v>
      </c>
      <c r="W51" s="30" t="str">
        <f t="shared" si="36"/>
        <v>Pedro Dias</v>
      </c>
      <c r="X51" s="32">
        <f t="shared" si="37"/>
        <v>5.9174074074074072</v>
      </c>
      <c r="Y51"/>
      <c r="Z51"/>
      <c r="AA51"/>
      <c r="AB51" s="49">
        <v>8</v>
      </c>
      <c r="AC51" s="30" t="str">
        <f t="shared" si="38"/>
        <v/>
      </c>
      <c r="AD51" s="32" t="str">
        <f t="shared" si="39"/>
        <v/>
      </c>
      <c r="AE51"/>
      <c r="AF51"/>
      <c r="AG51"/>
      <c r="AH51" s="49">
        <v>47</v>
      </c>
      <c r="AI51" s="30" t="str">
        <f t="shared" si="0"/>
        <v>Gustavo Gomes</v>
      </c>
      <c r="AJ51" s="32">
        <f t="shared" si="1"/>
        <v>3.78</v>
      </c>
      <c r="AK51" s="56"/>
      <c r="AL51" s="158">
        <v>47</v>
      </c>
      <c r="AM51" s="30" t="str">
        <f t="shared" si="2"/>
        <v>Gabriel Teixeira</v>
      </c>
      <c r="AN51" s="86">
        <f t="shared" si="3"/>
        <v>2.2222222222222223E-2</v>
      </c>
      <c r="AO51" s="76">
        <f>COUNTIF(AN$5:$AN51,AN51)</f>
        <v>1</v>
      </c>
      <c r="AP51" s="76" t="str">
        <f t="shared" si="41"/>
        <v>0,02222222222222221</v>
      </c>
      <c r="AR51" s="54" t="str">
        <f t="shared" si="26"/>
        <v/>
      </c>
      <c r="AS51" s="55" t="str">
        <f t="shared" si="27"/>
        <v/>
      </c>
      <c r="AT51" s="54" t="str">
        <f t="shared" si="28"/>
        <v/>
      </c>
      <c r="AU51" s="54">
        <f t="shared" si="29"/>
        <v>5.52</v>
      </c>
      <c r="AV51" s="54"/>
      <c r="AW51" s="54" t="str">
        <f t="shared" si="4"/>
        <v/>
      </c>
      <c r="AX51" s="54" t="str">
        <f t="shared" si="5"/>
        <v/>
      </c>
      <c r="AY51" s="54" t="str">
        <f t="shared" si="6"/>
        <v/>
      </c>
      <c r="AZ51" s="54" t="str">
        <f t="shared" si="7"/>
        <v/>
      </c>
      <c r="BC51" s="5" t="str">
        <f t="shared" si="8"/>
        <v/>
      </c>
      <c r="BE51" s="158">
        <v>47</v>
      </c>
      <c r="BF51" s="30" t="str">
        <f t="shared" si="9"/>
        <v>Gustavo Bumbum (GK)</v>
      </c>
      <c r="BG51" s="31">
        <f t="shared" si="10"/>
        <v>0</v>
      </c>
      <c r="BH51">
        <f>COUNTIF(BG$5:$BG51,BG51)</f>
        <v>3</v>
      </c>
      <c r="BI51" t="str">
        <f t="shared" si="42"/>
        <v>03</v>
      </c>
      <c r="BK51" s="158">
        <v>47</v>
      </c>
      <c r="BL51" s="30" t="str">
        <f t="shared" si="11"/>
        <v>Pedro Abreu</v>
      </c>
      <c r="BM51" s="31">
        <f t="shared" si="12"/>
        <v>0</v>
      </c>
      <c r="BN51">
        <f>COUNTIF(BM$5:$BM51,BM51)</f>
        <v>5</v>
      </c>
      <c r="BO51" t="str">
        <f t="shared" si="43"/>
        <v>05</v>
      </c>
    </row>
    <row r="52" spans="2:67" ht="15.75" thickBot="1" x14ac:dyDescent="0.3">
      <c r="B52" s="189" t="str">
        <f>JAN!B52</f>
        <v>Yamam Fagundes</v>
      </c>
      <c r="C52" s="106" t="s">
        <v>59</v>
      </c>
      <c r="D52" s="12">
        <f>SUM(JAN:DEZ!AB52)</f>
        <v>2</v>
      </c>
      <c r="E52" s="104">
        <f t="shared" si="13"/>
        <v>4.4444444444444446E-2</v>
      </c>
      <c r="F52" s="22">
        <f>SUM(JAN:DEZ!AC52)</f>
        <v>0</v>
      </c>
      <c r="G52" s="22">
        <f>SUM(JAN:DEZ!AD52)</f>
        <v>1</v>
      </c>
      <c r="H52" s="22">
        <f>SUM(JAN:DEZ!AE52)</f>
        <v>1</v>
      </c>
      <c r="I52" s="22">
        <f>SUM(JAN:DEZ!AF52)</f>
        <v>1</v>
      </c>
      <c r="J52" s="13">
        <f>IFERROR(AVERAGE(JAN:DEZ!AG52),"-")</f>
        <v>5.35</v>
      </c>
      <c r="K52" s="100">
        <f>COUNTIF(F$5:$F52,F52)</f>
        <v>11</v>
      </c>
      <c r="L52" s="73" t="str">
        <f t="shared" si="44"/>
        <v>011</v>
      </c>
      <c r="M52" s="73">
        <f>COUNTIF(G$5:$G52,G52)</f>
        <v>3</v>
      </c>
      <c r="N52" s="73" t="str">
        <f t="shared" si="45"/>
        <v>13</v>
      </c>
      <c r="O52" s="73">
        <f>COUNTIF(E$5:$E52,E52)</f>
        <v>2</v>
      </c>
      <c r="P52" s="131" t="str">
        <f t="shared" si="46"/>
        <v>0,04444444444444442</v>
      </c>
      <c r="Q52" s="131">
        <f>COUNTIF(H$5:$H52,H52)</f>
        <v>3</v>
      </c>
      <c r="R52" s="131" t="str">
        <f t="shared" si="47"/>
        <v>13</v>
      </c>
      <c r="S52" s="131">
        <f>COUNTIF(I$5:$I52,I52)</f>
        <v>7</v>
      </c>
      <c r="T52" s="103" t="str">
        <f t="shared" si="48"/>
        <v>17</v>
      </c>
      <c r="V52" s="49">
        <v>9</v>
      </c>
      <c r="W52" s="30" t="str">
        <f t="shared" si="36"/>
        <v>Lucas Leite - Coxinha</v>
      </c>
      <c r="X52" s="32">
        <f t="shared" si="37"/>
        <v>5.8870909090909098</v>
      </c>
      <c r="Y52"/>
      <c r="Z52"/>
      <c r="AA52"/>
      <c r="AB52" s="49">
        <v>9</v>
      </c>
      <c r="AC52" s="30" t="str">
        <f t="shared" si="38"/>
        <v/>
      </c>
      <c r="AD52" s="32" t="str">
        <f t="shared" si="39"/>
        <v/>
      </c>
      <c r="AE52"/>
      <c r="AF52"/>
      <c r="AG52"/>
      <c r="AH52" s="50">
        <v>48</v>
      </c>
      <c r="AI52" s="34" t="str">
        <f t="shared" si="0"/>
        <v>Luis do Corte</v>
      </c>
      <c r="AJ52" s="36" t="str">
        <f t="shared" si="1"/>
        <v>-</v>
      </c>
      <c r="AK52" s="56"/>
      <c r="AL52" s="133">
        <v>48</v>
      </c>
      <c r="AM52" s="34" t="str">
        <f t="shared" si="2"/>
        <v>Luis do Corte</v>
      </c>
      <c r="AN52" s="97">
        <f t="shared" si="3"/>
        <v>0</v>
      </c>
      <c r="AO52" s="76">
        <f>COUNTIF(AN$5:$AN52,AN52)</f>
        <v>1</v>
      </c>
      <c r="AP52" s="76" t="str">
        <f t="shared" si="41"/>
        <v>01</v>
      </c>
      <c r="AR52" s="54" t="str">
        <f t="shared" si="26"/>
        <v/>
      </c>
      <c r="AS52" s="55" t="str">
        <f t="shared" si="27"/>
        <v/>
      </c>
      <c r="AT52" s="54">
        <f t="shared" si="28"/>
        <v>5.35</v>
      </c>
      <c r="AU52" s="54" t="str">
        <f t="shared" si="29"/>
        <v/>
      </c>
      <c r="AV52" s="54"/>
      <c r="AW52" s="54" t="str">
        <f t="shared" si="4"/>
        <v/>
      </c>
      <c r="AX52" s="54" t="str">
        <f t="shared" si="5"/>
        <v/>
      </c>
      <c r="AY52" s="54" t="str">
        <f t="shared" si="6"/>
        <v/>
      </c>
      <c r="AZ52" s="54" t="str">
        <f t="shared" si="7"/>
        <v/>
      </c>
      <c r="BC52" s="5" t="str">
        <f t="shared" si="8"/>
        <v/>
      </c>
      <c r="BE52" s="133">
        <v>48</v>
      </c>
      <c r="BF52" s="34" t="str">
        <f t="shared" si="9"/>
        <v>Luis do Corte</v>
      </c>
      <c r="BG52" s="35">
        <f t="shared" si="10"/>
        <v>0</v>
      </c>
      <c r="BH52">
        <f>COUNTIF(BG$5:$BG52,BG52)</f>
        <v>4</v>
      </c>
      <c r="BI52" t="str">
        <f t="shared" si="42"/>
        <v>04</v>
      </c>
      <c r="BK52" s="133">
        <v>48</v>
      </c>
      <c r="BL52" s="34" t="str">
        <f t="shared" si="11"/>
        <v>Thiago Amorim - Caputira</v>
      </c>
      <c r="BM52" s="35">
        <f t="shared" si="12"/>
        <v>0</v>
      </c>
      <c r="BN52">
        <f>COUNTIF(BM$5:$BM52,BM52)</f>
        <v>6</v>
      </c>
      <c r="BO52" t="str">
        <f t="shared" si="43"/>
        <v>06</v>
      </c>
    </row>
    <row r="53" spans="2:67" ht="15.75" thickBot="1" x14ac:dyDescent="0.3">
      <c r="V53" s="50">
        <v>10</v>
      </c>
      <c r="W53" s="34" t="str">
        <f t="shared" si="36"/>
        <v>Rafael Mendes</v>
      </c>
      <c r="X53" s="36">
        <f t="shared" si="37"/>
        <v>5.7099047619047614</v>
      </c>
      <c r="Y53"/>
      <c r="Z53"/>
      <c r="AA53"/>
      <c r="AB53" s="50">
        <v>10</v>
      </c>
      <c r="AC53" s="34" t="str">
        <f t="shared" si="38"/>
        <v/>
      </c>
      <c r="AD53" s="36" t="str">
        <f t="shared" si="39"/>
        <v/>
      </c>
      <c r="AE53"/>
      <c r="AF53"/>
      <c r="AG53"/>
      <c r="AH53"/>
      <c r="AI53"/>
      <c r="AJ53"/>
      <c r="AK53"/>
      <c r="AL53"/>
      <c r="AM53"/>
      <c r="AN53" s="8"/>
      <c r="AO53" s="79"/>
      <c r="AP53" s="79"/>
      <c r="AR53" s="54" t="str">
        <f t="shared" si="26"/>
        <v/>
      </c>
      <c r="AS53" s="55" t="str">
        <f t="shared" si="27"/>
        <v/>
      </c>
      <c r="AT53" s="54" t="str">
        <f t="shared" si="28"/>
        <v/>
      </c>
      <c r="AU53" s="54" t="str">
        <f t="shared" si="29"/>
        <v/>
      </c>
      <c r="AV53" s="54"/>
      <c r="AW53" s="54"/>
      <c r="AX53" s="54"/>
      <c r="AY53" s="54"/>
      <c r="AZ53" s="54"/>
      <c r="BC53" s="5" t="str">
        <f t="shared" si="8"/>
        <v/>
      </c>
    </row>
    <row r="54" spans="2:67" ht="15.75" thickBot="1" x14ac:dyDescent="0.3">
      <c r="V54"/>
      <c r="W54"/>
      <c r="X54"/>
      <c r="Y54"/>
      <c r="Z54"/>
      <c r="AA54"/>
      <c r="AB54" s="54"/>
      <c r="AC54"/>
      <c r="AD54"/>
      <c r="AE54"/>
      <c r="AF54"/>
      <c r="AG54"/>
      <c r="AH54"/>
      <c r="AI54"/>
      <c r="AJ54"/>
      <c r="AK54"/>
      <c r="AL54"/>
      <c r="AM54"/>
      <c r="AN54" s="8"/>
      <c r="AO54" s="79"/>
      <c r="AP54" s="79"/>
      <c r="AR54" s="54" t="str">
        <f t="shared" si="26"/>
        <v/>
      </c>
      <c r="AS54" s="55" t="str">
        <f t="shared" si="27"/>
        <v/>
      </c>
      <c r="AT54" s="54" t="str">
        <f t="shared" si="28"/>
        <v/>
      </c>
      <c r="AU54" s="54" t="str">
        <f t="shared" si="29"/>
        <v/>
      </c>
      <c r="AV54" s="54"/>
      <c r="AW54" s="54"/>
      <c r="AX54" s="54"/>
      <c r="AY54" s="54"/>
      <c r="AZ54" s="54"/>
      <c r="BC54" s="5" t="str">
        <f t="shared" si="8"/>
        <v/>
      </c>
    </row>
    <row r="55" spans="2:67" ht="15" customHeight="1" x14ac:dyDescent="0.25">
      <c r="V55" s="366" t="s">
        <v>87</v>
      </c>
      <c r="W55" s="367"/>
      <c r="X55" s="367"/>
      <c r="Y55" s="367"/>
      <c r="Z55" s="367"/>
      <c r="AA55" s="367"/>
      <c r="AB55" s="367"/>
      <c r="AC55" s="367"/>
      <c r="AD55" s="367"/>
      <c r="AE55" s="367"/>
      <c r="AF55" s="367"/>
      <c r="AG55" s="367"/>
      <c r="AH55" s="367"/>
      <c r="AI55" s="367"/>
      <c r="AJ55" s="368"/>
      <c r="AK55"/>
      <c r="AL55"/>
      <c r="AM55"/>
      <c r="AN55" s="8"/>
      <c r="AO55" s="79"/>
      <c r="AP55" s="79"/>
      <c r="AR55" s="54" t="str">
        <f t="shared" si="26"/>
        <v/>
      </c>
      <c r="AS55" s="55" t="str">
        <f t="shared" si="27"/>
        <v/>
      </c>
      <c r="AT55" s="54" t="str">
        <f t="shared" si="28"/>
        <v/>
      </c>
      <c r="AU55" s="54" t="str">
        <f t="shared" si="29"/>
        <v/>
      </c>
      <c r="BC55" s="5" t="str">
        <f t="shared" si="8"/>
        <v/>
      </c>
    </row>
    <row r="56" spans="2:67" ht="15.75" customHeight="1" thickBot="1" x14ac:dyDescent="0.3">
      <c r="V56" s="369"/>
      <c r="W56" s="370"/>
      <c r="X56" s="370"/>
      <c r="Y56" s="370"/>
      <c r="Z56" s="370"/>
      <c r="AA56" s="370"/>
      <c r="AB56" s="370"/>
      <c r="AC56" s="370"/>
      <c r="AD56" s="370"/>
      <c r="AE56" s="370"/>
      <c r="AF56" s="370"/>
      <c r="AG56" s="370"/>
      <c r="AH56" s="370"/>
      <c r="AI56" s="370"/>
      <c r="AJ56" s="371"/>
      <c r="AK56" s="39"/>
      <c r="AL56" s="39"/>
      <c r="AM56" s="39"/>
      <c r="AN56" s="90"/>
      <c r="AR56" s="54" t="str">
        <f t="shared" si="26"/>
        <v/>
      </c>
      <c r="AS56" s="55" t="str">
        <f t="shared" si="27"/>
        <v/>
      </c>
      <c r="AT56" s="54" t="str">
        <f t="shared" si="28"/>
        <v/>
      </c>
      <c r="AU56" s="54" t="str">
        <f t="shared" si="29"/>
        <v/>
      </c>
    </row>
    <row r="57" spans="2:67" ht="15.75" thickBot="1" x14ac:dyDescent="0.3">
      <c r="AK57" s="39"/>
      <c r="AL57" s="39"/>
      <c r="AM57" s="39"/>
      <c r="AN57" s="90"/>
    </row>
    <row r="58" spans="2:67" x14ac:dyDescent="0.25">
      <c r="W58" s="296" t="s">
        <v>66</v>
      </c>
      <c r="X58" s="364" t="s">
        <v>40</v>
      </c>
      <c r="Y58"/>
      <c r="Z58"/>
      <c r="AA58"/>
      <c r="AB58" s="39"/>
      <c r="AC58" s="296" t="s">
        <v>67</v>
      </c>
      <c r="AD58" s="364" t="s">
        <v>40</v>
      </c>
      <c r="AI58" s="296" t="s">
        <v>57</v>
      </c>
      <c r="AJ58" s="364" t="s">
        <v>40</v>
      </c>
      <c r="AK58" s="20"/>
      <c r="AL58" s="8">
        <v>0.3</v>
      </c>
      <c r="AM58" s="20"/>
      <c r="AN58" s="91"/>
      <c r="AO58" s="78"/>
      <c r="AP58" s="78"/>
    </row>
    <row r="59" spans="2:67" ht="15.75" thickBot="1" x14ac:dyDescent="0.3">
      <c r="W59" s="374"/>
      <c r="X59" s="372"/>
      <c r="Y59"/>
      <c r="Z59"/>
      <c r="AA59"/>
      <c r="AB59" s="39"/>
      <c r="AC59" s="374"/>
      <c r="AD59" s="372"/>
      <c r="AI59" s="297"/>
      <c r="AJ59" s="365"/>
      <c r="AK59" s="20"/>
      <c r="AL59" s="20"/>
      <c r="AM59" s="20"/>
      <c r="AN59" s="91"/>
      <c r="AO59" s="78"/>
      <c r="AP59" s="78"/>
    </row>
    <row r="60" spans="2:67" x14ac:dyDescent="0.25">
      <c r="V60" s="47">
        <v>1</v>
      </c>
      <c r="W60" s="101" t="str">
        <f>INDEX($B$5:$J$100,MATCH(X60,$J$5:$J$100,0),1)</f>
        <v>Guilherme Santos (GK)</v>
      </c>
      <c r="X60" s="116">
        <f>LARGE(AW5:AW100,V60)</f>
        <v>6.3762121212121201</v>
      </c>
      <c r="Y60"/>
      <c r="Z60"/>
      <c r="AA60"/>
      <c r="AB60" s="47">
        <v>1</v>
      </c>
      <c r="AC60" s="101" t="str">
        <f>IFERROR(INDEX($B$5:$J$100,MATCH(AD60,$J$5:$J$100,0),1),"")</f>
        <v>David Melo</v>
      </c>
      <c r="AD60" s="116">
        <f>IFERROR(LARGE($AX$5:$AX$55,AB60),"")</f>
        <v>5.8070370370370377</v>
      </c>
      <c r="AH60" s="52">
        <v>1</v>
      </c>
      <c r="AI60" s="70" t="str">
        <f>IFERROR(INDEX($B$5:$J$100,MATCH(AJ60,$J$5:$J$100,0),1),"-")</f>
        <v>Felipe Horsts</v>
      </c>
      <c r="AJ60" s="71">
        <f>IFERROR(LARGE($BC$5:$BC$55,AH60),"")</f>
        <v>6.6021428571428578</v>
      </c>
      <c r="AK60" s="56"/>
      <c r="AL60" s="56"/>
      <c r="AM60" s="56"/>
      <c r="AN60" s="87"/>
      <c r="AO60" s="76"/>
      <c r="AP60" s="76"/>
    </row>
    <row r="61" spans="2:67" x14ac:dyDescent="0.25">
      <c r="V61" s="170">
        <v>2</v>
      </c>
      <c r="W61" s="172" t="str">
        <f>IFERROR(INDEX($B$5:$J$50,MATCH(X61,$J$5:$J$50,0),1),"")</f>
        <v>Douglas DG (GK)</v>
      </c>
      <c r="X61" s="173">
        <f>IFERROR(LARGE(AW6:AW52,V61),"")</f>
        <v>6.0192592592592611</v>
      </c>
      <c r="Y61"/>
      <c r="Z61"/>
      <c r="AA61"/>
      <c r="AB61" s="170">
        <v>2</v>
      </c>
      <c r="AC61" s="171" t="str">
        <f t="shared" ref="AC61:AC69" si="49">IFERROR(INDEX($B$5:$J$100,MATCH(AD61,$J$5:$J$100,0),1),"")</f>
        <v>Ruan Amorim</v>
      </c>
      <c r="AD61" s="174">
        <f t="shared" ref="AD61:AD69" si="50">IFERROR(LARGE($AX$5:$AX$51,AB61),"")</f>
        <v>5.7792727272727271</v>
      </c>
      <c r="AH61" s="51">
        <v>2</v>
      </c>
      <c r="AI61" s="46" t="str">
        <f t="shared" ref="AI61:AI78" si="51">IFERROR(INDEX($B$5:$J$50,MATCH(AJ61,$J$5:$J$50,0),1),"-")</f>
        <v>Gabriel Andrade</v>
      </c>
      <c r="AJ61" s="43">
        <f t="shared" ref="AJ61:AJ79" si="52">IFERROR(LARGE($BC$5:$BC$55,AH61),"")</f>
        <v>6.4784499999999996</v>
      </c>
      <c r="AK61" s="92"/>
      <c r="AL61" s="92"/>
      <c r="AM61" s="92"/>
      <c r="AN61" s="87"/>
      <c r="AO61" s="80"/>
      <c r="AP61" s="80"/>
    </row>
    <row r="62" spans="2:67" x14ac:dyDescent="0.25">
      <c r="V62" s="48">
        <v>3</v>
      </c>
      <c r="W62" s="45" t="str">
        <f>IFERROR(INDEX($B$5:$J$50,MATCH(X62,$J$5:$J$50,0),1),"")</f>
        <v>Ricardo Marchesini (GK)</v>
      </c>
      <c r="X62" s="44">
        <f>IFERROR(LARGE(AW7:AW53,V62),"")</f>
        <v>5.8375000000000004</v>
      </c>
      <c r="Y62"/>
      <c r="Z62"/>
      <c r="AA62"/>
      <c r="AB62" s="175">
        <v>3</v>
      </c>
      <c r="AC62" s="176" t="str">
        <f t="shared" si="49"/>
        <v>Pierre Paulo</v>
      </c>
      <c r="AD62" s="177">
        <f t="shared" si="50"/>
        <v>5.7146060606060605</v>
      </c>
      <c r="AH62" s="48">
        <v>3</v>
      </c>
      <c r="AI62" s="45" t="str">
        <f t="shared" si="51"/>
        <v>Guilherme Santos (GK)</v>
      </c>
      <c r="AJ62" s="44">
        <f t="shared" si="52"/>
        <v>6.3762121212121201</v>
      </c>
      <c r="AK62" s="75"/>
      <c r="AL62" s="75"/>
      <c r="AM62" s="75"/>
      <c r="AN62" s="87"/>
      <c r="AO62" s="81"/>
      <c r="AP62" s="81"/>
    </row>
    <row r="63" spans="2:67" x14ac:dyDescent="0.25">
      <c r="V63" s="49">
        <v>4</v>
      </c>
      <c r="W63" s="60" t="str">
        <f>IFERROR(INDEX($B$5:$J$50,MATCH(X63,$J$5:$J$50,0),1),"")</f>
        <v/>
      </c>
      <c r="X63" s="61" t="str">
        <f>IFERROR(LARGE(AW8:AW54,V63),"")</f>
        <v/>
      </c>
      <c r="Y63"/>
      <c r="Z63"/>
      <c r="AA63"/>
      <c r="AB63" s="49">
        <v>4</v>
      </c>
      <c r="AC63" s="98" t="str">
        <f t="shared" si="49"/>
        <v>Marco Antonio</v>
      </c>
      <c r="AD63" s="178">
        <f t="shared" si="50"/>
        <v>5.6049999999999995</v>
      </c>
      <c r="AH63" s="9">
        <v>4</v>
      </c>
      <c r="AI63" s="30" t="str">
        <f t="shared" si="51"/>
        <v>Henrique Viza</v>
      </c>
      <c r="AJ63" s="32">
        <f t="shared" si="52"/>
        <v>6.1605555555555558</v>
      </c>
      <c r="AK63" s="56"/>
      <c r="AL63" s="56"/>
      <c r="AM63" s="56"/>
      <c r="AN63" s="87"/>
      <c r="AO63" s="76"/>
      <c r="AP63" s="76"/>
    </row>
    <row r="64" spans="2:67" ht="15.75" thickBot="1" x14ac:dyDescent="0.3">
      <c r="V64" s="50">
        <v>5</v>
      </c>
      <c r="W64" s="62" t="str">
        <f>IFERROR(INDEX($B$5:$J$50,MATCH(X64,$J$5:$J$50,0),1),"")</f>
        <v/>
      </c>
      <c r="X64" s="63" t="str">
        <f>IFERROR(LARGE(AW9:AW55,V64),"")</f>
        <v/>
      </c>
      <c r="Y64"/>
      <c r="Z64"/>
      <c r="AA64"/>
      <c r="AB64" s="49">
        <v>5</v>
      </c>
      <c r="AC64" s="98" t="str">
        <f t="shared" si="49"/>
        <v>Leo Bitencourt</v>
      </c>
      <c r="AD64" s="178">
        <f t="shared" si="50"/>
        <v>5.4672222222222224</v>
      </c>
      <c r="AH64" s="9">
        <v>5</v>
      </c>
      <c r="AI64" s="30" t="str">
        <f t="shared" si="51"/>
        <v>Alberto Henrique</v>
      </c>
      <c r="AJ64" s="32">
        <f t="shared" si="52"/>
        <v>6.0820999999999996</v>
      </c>
      <c r="AK64" s="56"/>
      <c r="AL64" s="56"/>
      <c r="AM64" s="56"/>
      <c r="AN64" s="87"/>
      <c r="AO64" s="76"/>
      <c r="AP64" s="76"/>
    </row>
    <row r="65" spans="21:42" x14ac:dyDescent="0.25">
      <c r="V65" s="58"/>
      <c r="W65" s="33"/>
      <c r="X65" s="56"/>
      <c r="Y65" s="57"/>
      <c r="Z65" s="57"/>
      <c r="AA65" s="57"/>
      <c r="AB65" s="49">
        <v>6</v>
      </c>
      <c r="AC65" s="98" t="str">
        <f t="shared" si="49"/>
        <v>Pablo Brandão</v>
      </c>
      <c r="AD65" s="178">
        <f t="shared" si="50"/>
        <v>5.4248095238095226</v>
      </c>
      <c r="AH65" s="9">
        <v>6</v>
      </c>
      <c r="AI65" s="30" t="str">
        <f t="shared" si="51"/>
        <v>José Guilherme</v>
      </c>
      <c r="AJ65" s="32">
        <f t="shared" si="52"/>
        <v>6.0566666666666675</v>
      </c>
      <c r="AK65" s="56"/>
      <c r="AL65" s="56"/>
      <c r="AM65" s="56"/>
      <c r="AN65" s="87"/>
      <c r="AO65" s="76"/>
      <c r="AP65" s="76"/>
    </row>
    <row r="66" spans="21:42" x14ac:dyDescent="0.25">
      <c r="V66" s="58"/>
      <c r="W66" s="33"/>
      <c r="X66" s="56"/>
      <c r="Y66" s="57"/>
      <c r="Z66" s="57"/>
      <c r="AA66" s="57"/>
      <c r="AB66" s="49">
        <v>7</v>
      </c>
      <c r="AC66" s="98" t="str">
        <f t="shared" si="49"/>
        <v>João Victor - Bazim</v>
      </c>
      <c r="AD66" s="178">
        <f t="shared" si="50"/>
        <v>5.3115151515151515</v>
      </c>
      <c r="AH66" s="9">
        <v>7</v>
      </c>
      <c r="AI66" s="30" t="str">
        <f t="shared" si="51"/>
        <v>Douglas DG (GK)</v>
      </c>
      <c r="AJ66" s="32">
        <f t="shared" si="52"/>
        <v>6.0192592592592611</v>
      </c>
      <c r="AK66" s="56"/>
      <c r="AL66" s="56"/>
      <c r="AM66" s="56"/>
      <c r="AN66" s="87"/>
      <c r="AO66" s="76"/>
      <c r="AP66" s="76"/>
    </row>
    <row r="67" spans="21:42" x14ac:dyDescent="0.25">
      <c r="V67" s="58"/>
      <c r="W67" s="33"/>
      <c r="X67" s="56"/>
      <c r="Y67" s="57"/>
      <c r="Z67" s="57"/>
      <c r="AA67" s="57"/>
      <c r="AB67" s="49">
        <v>8</v>
      </c>
      <c r="AC67" s="98" t="str">
        <f t="shared" si="49"/>
        <v>Pedro Chequer</v>
      </c>
      <c r="AD67" s="178">
        <f t="shared" si="50"/>
        <v>5.2406666666666668</v>
      </c>
      <c r="AH67" s="9">
        <v>8</v>
      </c>
      <c r="AI67" s="30" t="str">
        <f t="shared" si="51"/>
        <v>Pedro Dias</v>
      </c>
      <c r="AJ67" s="32">
        <f t="shared" si="52"/>
        <v>5.9174074074074072</v>
      </c>
      <c r="AK67" s="56"/>
      <c r="AL67" s="56"/>
      <c r="AM67" s="56"/>
      <c r="AN67" s="87"/>
      <c r="AO67" s="76"/>
      <c r="AP67" s="76"/>
    </row>
    <row r="68" spans="21:42" x14ac:dyDescent="0.25">
      <c r="V68" s="58"/>
      <c r="W68" s="33"/>
      <c r="X68" s="56"/>
      <c r="Y68" s="57"/>
      <c r="Z68" s="57"/>
      <c r="AA68" s="57"/>
      <c r="AB68" s="49">
        <v>9</v>
      </c>
      <c r="AC68" s="98" t="str">
        <f t="shared" si="49"/>
        <v>Reinaldo Santana</v>
      </c>
      <c r="AD68" s="178">
        <f t="shared" si="50"/>
        <v>5.2028181818181816</v>
      </c>
      <c r="AH68" s="9">
        <v>9</v>
      </c>
      <c r="AI68" s="30" t="str">
        <f t="shared" si="51"/>
        <v>Lucas Leite - Coxinha</v>
      </c>
      <c r="AJ68" s="32">
        <f t="shared" si="52"/>
        <v>5.8870909090909098</v>
      </c>
      <c r="AK68" s="56"/>
      <c r="AL68" s="56"/>
      <c r="AM68" s="56"/>
      <c r="AN68" s="87"/>
      <c r="AO68" s="76"/>
      <c r="AP68" s="76"/>
    </row>
    <row r="69" spans="21:42" ht="15.75" thickBot="1" x14ac:dyDescent="0.3">
      <c r="V69" s="58"/>
      <c r="W69" s="33"/>
      <c r="X69" s="56"/>
      <c r="Y69" s="57"/>
      <c r="Z69" s="57"/>
      <c r="AA69" s="57"/>
      <c r="AB69" s="50">
        <v>10</v>
      </c>
      <c r="AC69" s="99" t="str">
        <f t="shared" si="49"/>
        <v/>
      </c>
      <c r="AD69" s="183" t="str">
        <f t="shared" si="50"/>
        <v/>
      </c>
      <c r="AH69" s="9">
        <v>10</v>
      </c>
      <c r="AI69" s="30" t="str">
        <f t="shared" si="51"/>
        <v>Ricardo Marchesini (GK)</v>
      </c>
      <c r="AJ69" s="32">
        <f t="shared" si="52"/>
        <v>5.8375000000000004</v>
      </c>
      <c r="AK69" s="56"/>
      <c r="AL69" s="56"/>
      <c r="AM69" s="56"/>
      <c r="AN69" s="87"/>
      <c r="AO69" s="76"/>
      <c r="AP69" s="76"/>
    </row>
    <row r="70" spans="21:42" x14ac:dyDescent="0.25">
      <c r="V70" s="57"/>
      <c r="W70" s="57"/>
      <c r="X70" s="57"/>
      <c r="Y70" s="57"/>
      <c r="Z70" s="57"/>
      <c r="AA70" s="57"/>
      <c r="AB70" s="54"/>
      <c r="AC70"/>
      <c r="AD70"/>
      <c r="AH70" s="9">
        <v>11</v>
      </c>
      <c r="AI70" s="30" t="str">
        <f t="shared" si="51"/>
        <v>Matheus Gomes</v>
      </c>
      <c r="AJ70" s="32">
        <f t="shared" si="52"/>
        <v>5.8201212121212116</v>
      </c>
      <c r="AK70" s="56"/>
      <c r="AL70" s="56"/>
      <c r="AM70" s="56"/>
      <c r="AN70" s="87"/>
      <c r="AO70" s="76"/>
      <c r="AP70" s="76"/>
    </row>
    <row r="71" spans="21:42" ht="15.75" thickBot="1" x14ac:dyDescent="0.3">
      <c r="V71"/>
      <c r="W71"/>
      <c r="X71"/>
      <c r="Y71"/>
      <c r="Z71"/>
      <c r="AA71"/>
      <c r="AB71" s="54"/>
      <c r="AC71"/>
      <c r="AD71"/>
      <c r="AH71" s="9">
        <v>12</v>
      </c>
      <c r="AI71" s="30" t="str">
        <f t="shared" si="51"/>
        <v>David Melo</v>
      </c>
      <c r="AJ71" s="32">
        <f t="shared" si="52"/>
        <v>5.8070370370370377</v>
      </c>
      <c r="AK71" s="56"/>
      <c r="AL71" s="56"/>
      <c r="AM71" s="56"/>
      <c r="AN71" s="87"/>
      <c r="AO71" s="76"/>
      <c r="AP71" s="76"/>
    </row>
    <row r="72" spans="21:42" x14ac:dyDescent="0.25">
      <c r="U72" s="64"/>
      <c r="W72" s="296" t="s">
        <v>68</v>
      </c>
      <c r="X72" s="364" t="s">
        <v>40</v>
      </c>
      <c r="Y72"/>
      <c r="Z72"/>
      <c r="AA72"/>
      <c r="AB72" s="39"/>
      <c r="AC72" s="296" t="s">
        <v>69</v>
      </c>
      <c r="AD72" s="364" t="s">
        <v>40</v>
      </c>
      <c r="AH72" s="9">
        <v>13</v>
      </c>
      <c r="AI72" s="30" t="str">
        <f t="shared" si="51"/>
        <v>Ruan Amorim</v>
      </c>
      <c r="AJ72" s="32">
        <f t="shared" si="52"/>
        <v>5.7792727272727271</v>
      </c>
      <c r="AK72" s="56"/>
      <c r="AL72" s="56"/>
      <c r="AM72" s="56"/>
      <c r="AN72" s="87"/>
      <c r="AO72" s="76"/>
      <c r="AP72" s="76"/>
    </row>
    <row r="73" spans="21:42" ht="15.75" thickBot="1" x14ac:dyDescent="0.3">
      <c r="U73" s="64"/>
      <c r="W73" s="374"/>
      <c r="X73" s="372"/>
      <c r="Y73"/>
      <c r="Z73"/>
      <c r="AA73"/>
      <c r="AB73" s="39"/>
      <c r="AC73" s="374"/>
      <c r="AD73" s="372"/>
      <c r="AH73" s="9">
        <v>14</v>
      </c>
      <c r="AI73" s="30" t="str">
        <f t="shared" si="51"/>
        <v>Pierre Paulo</v>
      </c>
      <c r="AJ73" s="32">
        <f t="shared" si="52"/>
        <v>5.7146060606060605</v>
      </c>
      <c r="AK73" s="56"/>
      <c r="AL73" s="56"/>
      <c r="AM73" s="56"/>
      <c r="AN73" s="87"/>
      <c r="AO73" s="76"/>
      <c r="AP73" s="76"/>
    </row>
    <row r="74" spans="21:42" x14ac:dyDescent="0.25">
      <c r="U74" s="64"/>
      <c r="V74" s="47">
        <v>1</v>
      </c>
      <c r="W74" s="101" t="str">
        <f>IFERROR(INDEX($B$5:$J$100,MATCH(X74,$J$5:$J$100,0),1),"")</f>
        <v>Gabriel Andrade</v>
      </c>
      <c r="X74" s="116">
        <f>IFERROR(LARGE($AY$5:$AY$55,AB60),"")</f>
        <v>6.4784499999999996</v>
      </c>
      <c r="Y74"/>
      <c r="Z74"/>
      <c r="AA74"/>
      <c r="AB74" s="47">
        <v>1</v>
      </c>
      <c r="AC74" s="101" t="str">
        <f>IFERROR(INDEX($B$5:$J$100,MATCH(AD74,$J$5:$J$100,0),1),"")</f>
        <v>Felipe Horsts</v>
      </c>
      <c r="AD74" s="116">
        <f>IFERROR(LARGE($AZ$5:$AZ$55,AB60),"")</f>
        <v>6.6021428571428578</v>
      </c>
      <c r="AH74" s="9">
        <v>15</v>
      </c>
      <c r="AI74" s="30" t="str">
        <f t="shared" si="51"/>
        <v>Rafael Mendes</v>
      </c>
      <c r="AJ74" s="32">
        <f t="shared" si="52"/>
        <v>5.7099047619047614</v>
      </c>
      <c r="AK74" s="56"/>
      <c r="AL74" s="56"/>
      <c r="AM74" s="56"/>
      <c r="AN74" s="87"/>
      <c r="AO74" s="76"/>
      <c r="AP74" s="76"/>
    </row>
    <row r="75" spans="21:42" x14ac:dyDescent="0.25">
      <c r="U75" s="64"/>
      <c r="V75" s="170">
        <v>2</v>
      </c>
      <c r="W75" s="171" t="str">
        <f t="shared" ref="W75:W83" si="53">IFERROR(INDEX($B$5:$J$100,MATCH(X75,$J$5:$J$100,0),1),"")</f>
        <v>Henrique Viza</v>
      </c>
      <c r="X75" s="174">
        <f t="shared" ref="X75:X83" si="54">IFERROR(LARGE($AY$5:$AY$51,AB61),"")</f>
        <v>6.1605555555555558</v>
      </c>
      <c r="Y75"/>
      <c r="Z75"/>
      <c r="AA75"/>
      <c r="AB75" s="170">
        <v>2</v>
      </c>
      <c r="AC75" s="172" t="str">
        <f t="shared" ref="AC75:AC83" si="55">IFERROR(INDEX($B$5:$J$50,MATCH(AD75,$J$5:$J$50,0),1),"")</f>
        <v>Matheus Gomes</v>
      </c>
      <c r="AD75" s="173">
        <f t="shared" ref="AD75:AD83" si="56">IFERROR(LARGE($AZ$5:$AZ$51,AB61),"")</f>
        <v>5.8201212121212116</v>
      </c>
      <c r="AH75" s="9">
        <v>16</v>
      </c>
      <c r="AI75" s="30" t="str">
        <f t="shared" si="51"/>
        <v>Lucas Gama - Passarim</v>
      </c>
      <c r="AJ75" s="32">
        <f t="shared" si="52"/>
        <v>5.631388888888889</v>
      </c>
      <c r="AK75" s="56"/>
      <c r="AL75" s="56"/>
      <c r="AM75" s="56"/>
      <c r="AN75" s="87"/>
      <c r="AO75" s="76"/>
      <c r="AP75" s="76"/>
    </row>
    <row r="76" spans="21:42" x14ac:dyDescent="0.25">
      <c r="U76" s="64"/>
      <c r="V76" s="175">
        <v>3</v>
      </c>
      <c r="W76" s="176" t="str">
        <f t="shared" si="53"/>
        <v>Alberto Henrique</v>
      </c>
      <c r="X76" s="177">
        <f t="shared" si="54"/>
        <v>6.0820999999999996</v>
      </c>
      <c r="Y76"/>
      <c r="Z76"/>
      <c r="AA76"/>
      <c r="AB76" s="48">
        <v>3</v>
      </c>
      <c r="AC76" s="45" t="str">
        <f t="shared" si="55"/>
        <v>João Vitor Nunes</v>
      </c>
      <c r="AD76" s="44">
        <f t="shared" si="56"/>
        <v>5.2606666666666664</v>
      </c>
      <c r="AH76" s="9">
        <v>17</v>
      </c>
      <c r="AI76" s="30" t="str">
        <f t="shared" si="51"/>
        <v>Marco Antonio</v>
      </c>
      <c r="AJ76" s="32">
        <f t="shared" si="52"/>
        <v>5.6049999999999995</v>
      </c>
      <c r="AK76" s="56"/>
      <c r="AL76" s="56"/>
      <c r="AM76" s="56"/>
      <c r="AN76" s="87"/>
      <c r="AO76" s="76"/>
      <c r="AP76" s="76"/>
    </row>
    <row r="77" spans="21:42" x14ac:dyDescent="0.25">
      <c r="U77" s="64"/>
      <c r="V77" s="49">
        <v>4</v>
      </c>
      <c r="W77" s="98" t="str">
        <f t="shared" si="53"/>
        <v>José Guilherme</v>
      </c>
      <c r="X77" s="178">
        <f t="shared" si="54"/>
        <v>6.0566666666666675</v>
      </c>
      <c r="Y77"/>
      <c r="Z77"/>
      <c r="AA77"/>
      <c r="AB77" s="49">
        <v>4</v>
      </c>
      <c r="AC77" s="30" t="str">
        <f t="shared" si="55"/>
        <v>Gabriel Castro</v>
      </c>
      <c r="AD77" s="32">
        <f t="shared" si="56"/>
        <v>5.1820476190476201</v>
      </c>
      <c r="AH77" s="9">
        <v>18</v>
      </c>
      <c r="AI77" s="30" t="str">
        <f t="shared" si="51"/>
        <v>Leo Starling</v>
      </c>
      <c r="AJ77" s="32">
        <f t="shared" si="52"/>
        <v>5.5691969696969696</v>
      </c>
      <c r="AK77" s="56"/>
      <c r="AL77" s="56"/>
      <c r="AM77" s="56"/>
      <c r="AN77" s="87"/>
      <c r="AO77" s="76"/>
      <c r="AP77" s="76"/>
    </row>
    <row r="78" spans="21:42" x14ac:dyDescent="0.25">
      <c r="U78" s="64"/>
      <c r="V78" s="49">
        <v>5</v>
      </c>
      <c r="W78" s="98" t="str">
        <f t="shared" si="53"/>
        <v>Pedro Dias</v>
      </c>
      <c r="X78" s="178">
        <f t="shared" si="54"/>
        <v>5.9174074074074072</v>
      </c>
      <c r="Y78"/>
      <c r="Z78"/>
      <c r="AA78"/>
      <c r="AB78" s="49">
        <v>5</v>
      </c>
      <c r="AC78" s="30" t="str">
        <f t="shared" si="55"/>
        <v/>
      </c>
      <c r="AD78" s="32" t="str">
        <f t="shared" si="56"/>
        <v/>
      </c>
      <c r="AH78" s="9">
        <v>19</v>
      </c>
      <c r="AI78" s="30" t="str">
        <f t="shared" si="51"/>
        <v>Leo Bitencourt</v>
      </c>
      <c r="AJ78" s="32">
        <f t="shared" si="52"/>
        <v>5.4672222222222224</v>
      </c>
      <c r="AK78" s="56"/>
      <c r="AL78" s="56"/>
      <c r="AM78" s="56"/>
      <c r="AN78" s="87"/>
      <c r="AO78" s="76"/>
      <c r="AP78" s="76"/>
    </row>
    <row r="79" spans="21:42" ht="15.75" thickBot="1" x14ac:dyDescent="0.3">
      <c r="V79" s="49">
        <v>6</v>
      </c>
      <c r="W79" s="98" t="str">
        <f t="shared" si="53"/>
        <v>Lucas Leite - Coxinha</v>
      </c>
      <c r="X79" s="178">
        <f t="shared" si="54"/>
        <v>5.8870909090909098</v>
      </c>
      <c r="Y79"/>
      <c r="Z79"/>
      <c r="AA79"/>
      <c r="AB79" s="49">
        <v>6</v>
      </c>
      <c r="AC79" s="30" t="str">
        <f t="shared" si="55"/>
        <v/>
      </c>
      <c r="AD79" s="32" t="str">
        <f t="shared" si="56"/>
        <v/>
      </c>
      <c r="AH79" s="11">
        <v>20</v>
      </c>
      <c r="AI79" s="34" t="str">
        <f>IFERROR(INDEX($B$5:$J$50,MATCH(AJ79,$J$5:$J$50,0),1),"")</f>
        <v>Pablo Brandão</v>
      </c>
      <c r="AJ79" s="36">
        <f t="shared" si="52"/>
        <v>5.4248095238095226</v>
      </c>
      <c r="AK79" s="56"/>
      <c r="AL79" s="56"/>
      <c r="AM79" s="56"/>
      <c r="AN79" s="87"/>
      <c r="AO79" s="76"/>
      <c r="AP79" s="76"/>
    </row>
    <row r="80" spans="21:42" x14ac:dyDescent="0.25">
      <c r="V80" s="49">
        <v>7</v>
      </c>
      <c r="W80" s="98" t="str">
        <f t="shared" si="53"/>
        <v>Rafael Mendes</v>
      </c>
      <c r="X80" s="178">
        <f t="shared" si="54"/>
        <v>5.7099047619047614</v>
      </c>
      <c r="Y80"/>
      <c r="Z80"/>
      <c r="AA80"/>
      <c r="AB80" s="49">
        <v>7</v>
      </c>
      <c r="AC80" s="30" t="str">
        <f t="shared" si="55"/>
        <v/>
      </c>
      <c r="AD80" s="32" t="str">
        <f t="shared" si="56"/>
        <v/>
      </c>
    </row>
    <row r="81" spans="22:30" x14ac:dyDescent="0.25">
      <c r="V81" s="49">
        <v>8</v>
      </c>
      <c r="W81" s="98" t="str">
        <f t="shared" si="53"/>
        <v>Lucas Gama - Passarim</v>
      </c>
      <c r="X81" s="178">
        <f t="shared" si="54"/>
        <v>5.631388888888889</v>
      </c>
      <c r="Y81"/>
      <c r="Z81"/>
      <c r="AA81"/>
      <c r="AB81" s="49">
        <v>8</v>
      </c>
      <c r="AC81" s="30" t="str">
        <f t="shared" si="55"/>
        <v/>
      </c>
      <c r="AD81" s="32" t="str">
        <f t="shared" si="56"/>
        <v/>
      </c>
    </row>
    <row r="82" spans="22:30" x14ac:dyDescent="0.25">
      <c r="V82" s="49">
        <v>9</v>
      </c>
      <c r="W82" s="98" t="str">
        <f t="shared" si="53"/>
        <v>Leo Starling</v>
      </c>
      <c r="X82" s="178">
        <f t="shared" si="54"/>
        <v>5.5691969696969696</v>
      </c>
      <c r="Y82"/>
      <c r="Z82"/>
      <c r="AA82"/>
      <c r="AB82" s="49">
        <v>9</v>
      </c>
      <c r="AC82" s="30" t="str">
        <f t="shared" si="55"/>
        <v/>
      </c>
      <c r="AD82" s="32" t="str">
        <f t="shared" si="56"/>
        <v/>
      </c>
    </row>
    <row r="83" spans="22:30" ht="15.75" thickBot="1" x14ac:dyDescent="0.3">
      <c r="V83" s="50">
        <v>10</v>
      </c>
      <c r="W83" s="99" t="str">
        <f t="shared" si="53"/>
        <v>Meurin</v>
      </c>
      <c r="X83" s="183">
        <f t="shared" si="54"/>
        <v>5.3150333333333331</v>
      </c>
      <c r="Y83"/>
      <c r="Z83"/>
      <c r="AA83"/>
      <c r="AB83" s="50">
        <v>10</v>
      </c>
      <c r="AC83" s="34" t="str">
        <f t="shared" si="55"/>
        <v/>
      </c>
      <c r="AD83" s="36" t="str">
        <f t="shared" si="56"/>
        <v/>
      </c>
    </row>
    <row r="104" spans="29:30" x14ac:dyDescent="0.25">
      <c r="AC104" s="21" t="s">
        <v>3</v>
      </c>
      <c r="AD104" s="105" t="s">
        <v>59</v>
      </c>
    </row>
    <row r="105" spans="29:30" x14ac:dyDescent="0.25">
      <c r="AC105" s="21" t="s">
        <v>4</v>
      </c>
      <c r="AD105" s="105" t="s">
        <v>59</v>
      </c>
    </row>
    <row r="106" spans="29:30" x14ac:dyDescent="0.25">
      <c r="AC106" s="21" t="s">
        <v>5</v>
      </c>
      <c r="AD106" s="105" t="s">
        <v>43</v>
      </c>
    </row>
    <row r="107" spans="29:30" x14ac:dyDescent="0.25">
      <c r="AC107" s="21" t="s">
        <v>74</v>
      </c>
      <c r="AD107" s="105" t="s">
        <v>43</v>
      </c>
    </row>
    <row r="108" spans="29:30" x14ac:dyDescent="0.25">
      <c r="AC108" s="21" t="s">
        <v>6</v>
      </c>
      <c r="AD108" s="105" t="s">
        <v>60</v>
      </c>
    </row>
    <row r="109" spans="29:30" x14ac:dyDescent="0.25">
      <c r="AC109" s="21" t="s">
        <v>7</v>
      </c>
      <c r="AD109" s="105" t="s">
        <v>43</v>
      </c>
    </row>
    <row r="110" spans="29:30" x14ac:dyDescent="0.25">
      <c r="AC110" s="21" t="s">
        <v>8</v>
      </c>
      <c r="AD110" s="105" t="s">
        <v>60</v>
      </c>
    </row>
    <row r="111" spans="29:30" x14ac:dyDescent="0.25">
      <c r="AC111" s="21"/>
      <c r="AD111" s="105"/>
    </row>
    <row r="112" spans="29:30" x14ac:dyDescent="0.25">
      <c r="AC112" s="21" t="s">
        <v>9</v>
      </c>
      <c r="AD112" s="105" t="s">
        <v>59</v>
      </c>
    </row>
    <row r="113" spans="29:30" x14ac:dyDescent="0.25">
      <c r="AC113" s="21" t="s">
        <v>10</v>
      </c>
      <c r="AD113" s="105" t="s">
        <v>60</v>
      </c>
    </row>
    <row r="114" spans="29:30" x14ac:dyDescent="0.25">
      <c r="AC114" s="21" t="s">
        <v>11</v>
      </c>
      <c r="AD114" s="105" t="s">
        <v>61</v>
      </c>
    </row>
    <row r="115" spans="29:30" x14ac:dyDescent="0.25">
      <c r="AC115" s="21" t="s">
        <v>12</v>
      </c>
      <c r="AD115" s="105" t="s">
        <v>43</v>
      </c>
    </row>
    <row r="116" spans="29:30" x14ac:dyDescent="0.25">
      <c r="AC116" s="21" t="s">
        <v>56</v>
      </c>
      <c r="AD116" s="105" t="s">
        <v>43</v>
      </c>
    </row>
    <row r="117" spans="29:30" x14ac:dyDescent="0.25">
      <c r="AC117" s="21" t="s">
        <v>13</v>
      </c>
      <c r="AD117" s="105" t="s">
        <v>60</v>
      </c>
    </row>
    <row r="118" spans="29:30" x14ac:dyDescent="0.25">
      <c r="AC118" s="21" t="s">
        <v>14</v>
      </c>
      <c r="AD118" s="105" t="s">
        <v>59</v>
      </c>
    </row>
    <row r="119" spans="29:30" x14ac:dyDescent="0.25">
      <c r="AC119" s="21"/>
      <c r="AD119" s="105"/>
    </row>
    <row r="120" spans="29:30" x14ac:dyDescent="0.25">
      <c r="AC120" s="21" t="s">
        <v>15</v>
      </c>
      <c r="AD120" s="105" t="s">
        <v>61</v>
      </c>
    </row>
    <row r="121" spans="29:30" x14ac:dyDescent="0.25">
      <c r="AC121" s="21" t="s">
        <v>16</v>
      </c>
      <c r="AD121" s="105" t="s">
        <v>60</v>
      </c>
    </row>
    <row r="122" spans="29:30" x14ac:dyDescent="0.25">
      <c r="AC122" s="21"/>
      <c r="AD122" s="105"/>
    </row>
    <row r="123" spans="29:30" x14ac:dyDescent="0.25">
      <c r="AC123" s="21" t="s">
        <v>17</v>
      </c>
      <c r="AD123" s="105" t="s">
        <v>59</v>
      </c>
    </row>
    <row r="124" spans="29:30" x14ac:dyDescent="0.25">
      <c r="AC124" s="21" t="s">
        <v>18</v>
      </c>
      <c r="AD124" s="105" t="s">
        <v>60</v>
      </c>
    </row>
    <row r="125" spans="29:30" x14ac:dyDescent="0.25">
      <c r="AC125" s="21" t="s">
        <v>19</v>
      </c>
      <c r="AD125" s="105" t="s">
        <v>61</v>
      </c>
    </row>
    <row r="126" spans="29:30" x14ac:dyDescent="0.25">
      <c r="AC126" s="21" t="s">
        <v>79</v>
      </c>
      <c r="AD126" s="105" t="s">
        <v>61</v>
      </c>
    </row>
    <row r="127" spans="29:30" x14ac:dyDescent="0.25">
      <c r="AC127" s="21" t="s">
        <v>20</v>
      </c>
      <c r="AD127" s="105" t="s">
        <v>59</v>
      </c>
    </row>
    <row r="128" spans="29:30" x14ac:dyDescent="0.25">
      <c r="AC128" s="21" t="s">
        <v>21</v>
      </c>
      <c r="AD128" s="105" t="s">
        <v>61</v>
      </c>
    </row>
    <row r="129" spans="29:30" x14ac:dyDescent="0.25">
      <c r="AC129" s="21" t="s">
        <v>22</v>
      </c>
      <c r="AD129" s="105" t="s">
        <v>59</v>
      </c>
    </row>
    <row r="130" spans="29:30" x14ac:dyDescent="0.25">
      <c r="AC130" s="21" t="s">
        <v>23</v>
      </c>
      <c r="AD130" s="105" t="s">
        <v>59</v>
      </c>
    </row>
    <row r="131" spans="29:30" x14ac:dyDescent="0.25">
      <c r="AC131" s="21"/>
      <c r="AD131" s="105"/>
    </row>
    <row r="132" spans="29:30" x14ac:dyDescent="0.25">
      <c r="AC132" s="21" t="s">
        <v>24</v>
      </c>
      <c r="AD132" s="105" t="s">
        <v>59</v>
      </c>
    </row>
    <row r="133" spans="29:30" x14ac:dyDescent="0.25">
      <c r="AC133" s="21" t="s">
        <v>25</v>
      </c>
      <c r="AD133" s="105" t="s">
        <v>61</v>
      </c>
    </row>
    <row r="134" spans="29:30" x14ac:dyDescent="0.25">
      <c r="AC134" s="21" t="s">
        <v>26</v>
      </c>
      <c r="AD134" s="105" t="s">
        <v>60</v>
      </c>
    </row>
    <row r="135" spans="29:30" x14ac:dyDescent="0.25">
      <c r="AC135" s="21" t="s">
        <v>27</v>
      </c>
      <c r="AD135" s="105" t="s">
        <v>59</v>
      </c>
    </row>
    <row r="136" spans="29:30" x14ac:dyDescent="0.25">
      <c r="AC136" s="21" t="s">
        <v>28</v>
      </c>
      <c r="AD136" s="105" t="s">
        <v>61</v>
      </c>
    </row>
    <row r="137" spans="29:30" x14ac:dyDescent="0.25">
      <c r="AC137" s="21" t="s">
        <v>77</v>
      </c>
      <c r="AD137" s="105" t="s">
        <v>60</v>
      </c>
    </row>
    <row r="138" spans="29:30" x14ac:dyDescent="0.25">
      <c r="AC138" s="21" t="s">
        <v>29</v>
      </c>
      <c r="AD138" s="105" t="s">
        <v>61</v>
      </c>
    </row>
    <row r="139" spans="29:30" x14ac:dyDescent="0.25">
      <c r="AC139" s="21" t="s">
        <v>30</v>
      </c>
      <c r="AD139" s="105" t="s">
        <v>60</v>
      </c>
    </row>
    <row r="140" spans="29:30" x14ac:dyDescent="0.25">
      <c r="AC140" s="21" t="s">
        <v>31</v>
      </c>
      <c r="AD140" s="105" t="s">
        <v>61</v>
      </c>
    </row>
    <row r="141" spans="29:30" x14ac:dyDescent="0.25">
      <c r="AC141" s="21" t="s">
        <v>32</v>
      </c>
      <c r="AD141" s="105" t="s">
        <v>59</v>
      </c>
    </row>
    <row r="142" spans="29:30" x14ac:dyDescent="0.25">
      <c r="AC142" s="21" t="s">
        <v>33</v>
      </c>
      <c r="AD142" s="105" t="s">
        <v>61</v>
      </c>
    </row>
    <row r="143" spans="29:30" x14ac:dyDescent="0.25">
      <c r="AC143" s="21" t="s">
        <v>34</v>
      </c>
      <c r="AD143" s="105" t="s">
        <v>61</v>
      </c>
    </row>
    <row r="144" spans="29:30" x14ac:dyDescent="0.25">
      <c r="AC144" s="21" t="s">
        <v>35</v>
      </c>
      <c r="AD144" s="105" t="s">
        <v>61</v>
      </c>
    </row>
    <row r="145" spans="29:30" x14ac:dyDescent="0.25">
      <c r="AC145" s="21" t="s">
        <v>36</v>
      </c>
      <c r="AD145" s="105" t="s">
        <v>43</v>
      </c>
    </row>
    <row r="146" spans="29:30" x14ac:dyDescent="0.25">
      <c r="AC146" s="21" t="s">
        <v>37</v>
      </c>
      <c r="AD146" s="105" t="s">
        <v>61</v>
      </c>
    </row>
    <row r="147" spans="29:30" x14ac:dyDescent="0.25">
      <c r="AC147" s="21"/>
      <c r="AD147" s="105"/>
    </row>
    <row r="148" spans="29:30" x14ac:dyDescent="0.25">
      <c r="AC148" s="21" t="s">
        <v>38</v>
      </c>
      <c r="AD148" s="105" t="s">
        <v>61</v>
      </c>
    </row>
    <row r="149" spans="29:30" x14ac:dyDescent="0.25">
      <c r="AC149" s="21" t="s">
        <v>39</v>
      </c>
      <c r="AD149" s="105" t="s">
        <v>60</v>
      </c>
    </row>
    <row r="150" spans="29:30" x14ac:dyDescent="0.25">
      <c r="AC150" s="156" t="s">
        <v>80</v>
      </c>
      <c r="AD150" s="105" t="s">
        <v>60</v>
      </c>
    </row>
    <row r="151" spans="29:30" ht="15.75" thickBot="1" x14ac:dyDescent="0.3">
      <c r="AC151" s="157" t="s">
        <v>81</v>
      </c>
      <c r="AD151" s="106" t="s">
        <v>59</v>
      </c>
    </row>
    <row r="152" spans="29:30" x14ac:dyDescent="0.25">
      <c r="AC152" s="6" t="s">
        <v>82</v>
      </c>
      <c r="AD152" s="53" t="s">
        <v>61</v>
      </c>
    </row>
    <row r="153" spans="29:30" x14ac:dyDescent="0.25">
      <c r="AC153" s="6" t="s">
        <v>83</v>
      </c>
      <c r="AD153" s="53" t="s">
        <v>59</v>
      </c>
    </row>
    <row r="154" spans="29:30" x14ac:dyDescent="0.25">
      <c r="AC154" s="6" t="s">
        <v>84</v>
      </c>
      <c r="AD154" s="53" t="s">
        <v>60</v>
      </c>
    </row>
    <row r="155" spans="29:30" x14ac:dyDescent="0.25">
      <c r="AC155" s="6" t="s">
        <v>85</v>
      </c>
      <c r="AD155" s="53" t="s">
        <v>61</v>
      </c>
    </row>
    <row r="156" spans="29:30" x14ac:dyDescent="0.25">
      <c r="AC156" s="6" t="s">
        <v>86</v>
      </c>
      <c r="AD156" s="53" t="s">
        <v>61</v>
      </c>
    </row>
  </sheetData>
  <sortState xmlns:xlrd2="http://schemas.microsoft.com/office/spreadsheetml/2017/richdata2" ref="B6:T50">
    <sortCondition ref="B5:B50"/>
  </sortState>
  <mergeCells count="46">
    <mergeCell ref="BL3:BL4"/>
    <mergeCell ref="BM3:BM4"/>
    <mergeCell ref="BF3:BF4"/>
    <mergeCell ref="BG3:BG4"/>
    <mergeCell ref="H3:H4"/>
    <mergeCell ref="Q4:R4"/>
    <mergeCell ref="AM3:AM4"/>
    <mergeCell ref="AN3:AN4"/>
    <mergeCell ref="J3:J4"/>
    <mergeCell ref="S4:T4"/>
    <mergeCell ref="K4:L4"/>
    <mergeCell ref="M4:N4"/>
    <mergeCell ref="AC3:AC4"/>
    <mergeCell ref="AD3:AD4"/>
    <mergeCell ref="AI3:AI4"/>
    <mergeCell ref="AJ3:AJ4"/>
    <mergeCell ref="W72:W73"/>
    <mergeCell ref="AC72:AC73"/>
    <mergeCell ref="AD72:AD73"/>
    <mergeCell ref="X72:X73"/>
    <mergeCell ref="W42:W43"/>
    <mergeCell ref="X42:X43"/>
    <mergeCell ref="AC42:AC43"/>
    <mergeCell ref="AD42:AD43"/>
    <mergeCell ref="W58:W59"/>
    <mergeCell ref="X58:X59"/>
    <mergeCell ref="AC58:AC59"/>
    <mergeCell ref="AD58:AD59"/>
    <mergeCell ref="AI58:AI59"/>
    <mergeCell ref="AJ58:AJ59"/>
    <mergeCell ref="V55:AJ56"/>
    <mergeCell ref="AD28:AD29"/>
    <mergeCell ref="O4:P4"/>
    <mergeCell ref="W3:W4"/>
    <mergeCell ref="X3:X4"/>
    <mergeCell ref="W28:W29"/>
    <mergeCell ref="X28:X29"/>
    <mergeCell ref="AC28:AC29"/>
    <mergeCell ref="E3:E4"/>
    <mergeCell ref="B1:J2"/>
    <mergeCell ref="B3:B4"/>
    <mergeCell ref="D3:D4"/>
    <mergeCell ref="F3:F4"/>
    <mergeCell ref="G3:G4"/>
    <mergeCell ref="C3:C4"/>
    <mergeCell ref="I3:I4"/>
  </mergeCells>
  <phoneticPr fontId="5" type="noConversion"/>
  <conditionalFormatting sqref="D5:D52">
    <cfRule type="dataBar" priority="1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{6272B714-5141-4DE2-9D8D-25321513D990}</x14:id>
        </ext>
      </extLst>
    </cfRule>
  </conditionalFormatting>
  <conditionalFormatting sqref="F1:F1048576">
    <cfRule type="top10" dxfId="16" priority="20" rank="1"/>
    <cfRule type="top10" dxfId="15" priority="21" rank="2"/>
    <cfRule type="top10" dxfId="14" priority="22" rank="3"/>
  </conditionalFormatting>
  <conditionalFormatting sqref="G1:G1048576">
    <cfRule type="top10" dxfId="13" priority="5" rank="1"/>
    <cfRule type="top10" dxfId="12" priority="6" rank="2"/>
    <cfRule type="top10" dxfId="11" priority="7" rank="3"/>
  </conditionalFormatting>
  <conditionalFormatting sqref="H1:I3 H4 H5:I1048576">
    <cfRule type="top10" dxfId="10" priority="8" rank="1"/>
    <cfRule type="top10" dxfId="9" priority="9" rank="2"/>
    <cfRule type="top10" dxfId="8" priority="10" rank="3"/>
  </conditionalFormatting>
  <conditionalFormatting sqref="I1:I1048576">
    <cfRule type="top10" dxfId="7" priority="1" rank="1"/>
    <cfRule type="top10" dxfId="6" priority="2" rank="2"/>
    <cfRule type="top10" dxfId="5" priority="3" rank="3"/>
  </conditionalFormatting>
  <conditionalFormatting sqref="J1:J1048576">
    <cfRule type="top10" dxfId="4" priority="12" rank="1"/>
    <cfRule type="top10" dxfId="3" priority="13" rank="2"/>
    <cfRule type="top10" dxfId="2" priority="14" rank="3"/>
  </conditionalFormatting>
  <pageMargins left="0.511811024" right="0.511811024" top="0.78740157499999996" bottom="0.78740157499999996" header="0.31496062000000002" footer="0.31496062000000002"/>
  <pageSetup paperSize="9" orientation="portrait" horizontalDpi="4294967292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72B714-5141-4DE2-9D8D-25321513D9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D5:D52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13</vt:i4>
      </vt:variant>
      <vt:variant>
        <vt:lpstr>Intervalos Nomeados</vt:lpstr>
      </vt:variant>
      <vt:variant>
        <vt:i4>5</vt:i4>
      </vt:variant>
    </vt:vector>
  </HeadingPairs>
  <TitlesOfParts>
    <vt:vector size="18" baseType="lpstr"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TOTAL</vt:lpstr>
      <vt:lpstr>AGO!Area_de_impressao</vt:lpstr>
      <vt:lpstr>JUL!Area_de_impressao</vt:lpstr>
      <vt:lpstr>NOV!Area_de_impressao</vt:lpstr>
      <vt:lpstr>OUT!Area_de_impressao</vt:lpstr>
      <vt:lpstr>SET!Area_de_impressao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Gabriel Castro</cp:lastModifiedBy>
  <cp:lastPrinted>2025-07-30T17:21:17Z</cp:lastPrinted>
  <dcterms:created xsi:type="dcterms:W3CDTF">2025-06-06T18:21:04Z</dcterms:created>
  <dcterms:modified xsi:type="dcterms:W3CDTF">2025-11-07T15:10:21Z</dcterms:modified>
</cp:coreProperties>
</file>